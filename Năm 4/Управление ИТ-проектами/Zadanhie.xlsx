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n\Nam 4\Kì 1\Управление ИТ-проектами\"/>
    </mc:Choice>
  </mc:AlternateContent>
  <xr:revisionPtr revIDLastSave="0" documentId="13_ncr:1_{585A5DFE-B6B3-4E51-AE77-C53F1E8D8427}" xr6:coauthVersionLast="47" xr6:coauthVersionMax="47" xr10:uidLastSave="{00000000-0000-0000-0000-000000000000}"/>
  <bookViews>
    <workbookView xWindow="-108" yWindow="-108" windowWidth="23256" windowHeight="13896" activeTab="2" xr2:uid="{FBF089D7-F7C9-4DD5-9430-B749D54D1F7E}"/>
  </bookViews>
  <sheets>
    <sheet name="Sheet1" sheetId="1" r:id="rId1"/>
    <sheet name="ResourcesData" sheetId="2" r:id="rId2"/>
    <sheet name="Sheet2" sheetId="3" r:id="rId3"/>
  </sheets>
  <definedNames>
    <definedName name="_xlnm._FilterDatabase" localSheetId="1" hidden="1">ResourcesData!$A$1:$E$12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B9" i="3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C20" i="1"/>
  <c r="E5" i="1"/>
  <c r="F5" i="1"/>
  <c r="G5" i="1"/>
  <c r="H5" i="1"/>
  <c r="I5" i="1"/>
  <c r="J5" i="1"/>
  <c r="K5" i="1"/>
  <c r="L5" i="1"/>
  <c r="M5" i="1"/>
  <c r="N5" i="1"/>
  <c r="D5" i="1"/>
</calcChain>
</file>

<file path=xl/sharedStrings.xml><?xml version="1.0" encoding="utf-8"?>
<sst xmlns="http://schemas.openxmlformats.org/spreadsheetml/2006/main" count="67" uniqueCount="38">
  <si>
    <t>Работа</t>
  </si>
  <si>
    <t>Раннее время начала</t>
  </si>
  <si>
    <t>Позднее время начала</t>
  </si>
  <si>
    <t>Резерв времени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</si>
  <si>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</si>
  <si>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</si>
  <si>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</si>
  <si>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</si>
  <si>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</si>
  <si>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</si>
  <si>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</si>
  <si>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</si>
  <si>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</si>
  <si>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</si>
  <si>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</si>
  <si>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Исполнитель</t>
  </si>
  <si>
    <t>Бизнес-аналитик</t>
  </si>
  <si>
    <t>Разработчик CRM</t>
  </si>
  <si>
    <t>Системный аналитик</t>
  </si>
  <si>
    <t>IT-поддержка</t>
  </si>
  <si>
    <t>Тестировщик</t>
  </si>
  <si>
    <t>Руководитель проекта</t>
  </si>
  <si>
    <t>Заказчик</t>
  </si>
  <si>
    <t>№ работы</t>
  </si>
  <si>
    <t>Название работы</t>
  </si>
  <si>
    <t>Постановка задачи</t>
  </si>
  <si>
    <t>Разработка интерфейса</t>
  </si>
  <si>
    <t>Разработка модуля обработки данных</t>
  </si>
  <si>
    <t>Разработка структуры базы данных</t>
  </si>
  <si>
    <t>Заполнение базы данных</t>
  </si>
  <si>
    <t>Отладка программного комплекса</t>
  </si>
  <si>
    <t>Настройка модулей CRM</t>
  </si>
  <si>
    <t>Тестирование и исправление ошибок</t>
  </si>
  <si>
    <t>Разработка программной документации</t>
  </si>
  <si>
    <t>Завершение проекта</t>
  </si>
  <si>
    <t>Итоговая сдача / Приёмка заказчиком</t>
  </si>
  <si>
    <t>Раннее начало</t>
  </si>
  <si>
    <t>Длительность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</si>
</sst>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0" borderId="3" xfId="0" applyBorder="1"/>
    <xf numFmtId="0" fontId="0" fillId="4" borderId="4" xfId="0" applyFill="1" applyBorder="1"/>
    <xf numFmtId="0" fontId="0" fillId="3" borderId="5" xfId="0" applyFill="1" applyBorder="1"/>
    <xf numFmtId="0" fontId="1" fillId="4" borderId="6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0" fillId="4" borderId="9" xfId="0" applyFill="1" applyBorder="1"/>
    <xf numFmtId="0" fontId="0" fillId="4" borderId="3" xfId="0" applyFill="1" applyBorder="1"/>
    <xf numFmtId="0" fontId="1" fillId="4" borderId="2" xfId="0" applyFont="1" applyFill="1" applyBorder="1"/>
    <xf numFmtId="0" fontId="0" fillId="4" borderId="6" xfId="0" applyFill="1" applyBorder="1"/>
    <xf numFmtId="0" fontId="0" fillId="4" borderId="8" xfId="0" applyFill="1" applyBorder="1"/>
    <xf numFmtId="0" fontId="0" fillId="4" borderId="2" xfId="0" applyFill="1" applyBorder="1"/>
    <xf numFmtId="0" fontId="0" fillId="4" borderId="7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Календарный график (диаграмма Ганта)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Sheet1!$S$1</c:f>
              <c:strCache>
                <c:ptCount val="1"/>
                <c:pt idx="0">
                  <c:v>Раннее начало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Sheet1!$R$2:$R$12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Sheet1!$S$2:$S$12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39</c:v>
                </c:pt>
                <c:pt idx="6">
                  <c:v>57</c:v>
                </c:pt>
                <c:pt idx="7">
                  <c:v>57</c:v>
                </c:pt>
                <c:pt idx="8">
                  <c:v>87</c:v>
                </c:pt>
                <c:pt idx="9">
                  <c:v>103</c:v>
                </c:pt>
                <c:pt idx="10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4-430E-81DF-A426850F8893}"/>
            </c:ext>
          </c:extLst>
        </c:ser>
        <c:ser>
          <c:idx val="1"/>
          <c:order val="1"/>
          <c:tx>
            <c:strRef>
              <c:f>Sheet1!$T$1</c:f>
              <c:strCache>
                <c:ptCount val="1"/>
                <c:pt idx="0">
                  <c:v>Длительность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Sheet1!$R$2:$R$12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Sheet1!$T$2:$T$12</c:f>
              <c:numCache>
                <c:formatCode>General</c:formatCode>
                <c:ptCount val="11"/>
                <c:pt idx="0">
                  <c:v>24</c:v>
                </c:pt>
                <c:pt idx="1">
                  <c:v>22</c:v>
                </c:pt>
                <c:pt idx="2">
                  <c:v>15</c:v>
                </c:pt>
                <c:pt idx="3">
                  <c:v>33</c:v>
                </c:pt>
                <c:pt idx="4">
                  <c:v>18</c:v>
                </c:pt>
                <c:pt idx="5">
                  <c:v>30</c:v>
                </c:pt>
                <c:pt idx="6">
                  <c:v>27</c:v>
                </c:pt>
                <c:pt idx="7">
                  <c:v>16</c:v>
                </c:pt>
                <c:pt idx="8">
                  <c:v>11</c:v>
                </c:pt>
                <c:pt idx="9">
                  <c:v>36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D4-430E-81DF-A426850F8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1878288"/>
        <c:axId val="1251844736"/>
      </c:barChart>
      <c:catAx>
        <c:axId val="1251878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844736"/>
        <c:crosses val="autoZero"/>
        <c:auto val="1"/>
        <c:lblAlgn val="ctr"/>
        <c:lblOffset val="100"/>
        <c:noMultiLvlLbl val="0"/>
      </c:catAx>
      <c:valAx>
        <c:axId val="125184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87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Заказчик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ResourcesData!$C$1</c:f>
              <c:strCache>
                <c:ptCount val="1"/>
                <c:pt idx="0">
                  <c:v>Раннее начало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ResourcesData!$C$2:$C$12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01C-B5C4-77B5AB8B7868}"/>
            </c:ext>
          </c:extLst>
        </c:ser>
        <c:ser>
          <c:idx val="1"/>
          <c:order val="1"/>
          <c:tx>
            <c:strRef>
              <c:f>ResourcesData!$D$1</c:f>
              <c:strCache>
                <c:ptCount val="1"/>
                <c:pt idx="0">
                  <c:v>Длительность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ResourcesData!$D$2:$D$12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01C-B5C4-77B5AB8B7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3613663"/>
        <c:axId val="993619423"/>
      </c:barChart>
      <c:catAx>
        <c:axId val="99361366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619423"/>
        <c:crosses val="autoZero"/>
        <c:auto val="1"/>
        <c:lblAlgn val="ctr"/>
        <c:lblOffset val="100"/>
        <c:noMultiLvlLbl val="0"/>
      </c:catAx>
      <c:valAx>
        <c:axId val="99361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61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599504</xdr:colOff>
      <xdr:row>0</xdr:row>
      <xdr:rowOff>115042</xdr:rowOff>
    </xdr:from>
    <xdr:to>
      <xdr:col>32</xdr:col>
      <xdr:colOff>331123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C6FB83-C232-0B7A-3839-5880D3071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2047461</xdr:colOff>
      <xdr:row>14</xdr:row>
      <xdr:rowOff>16564</xdr:rowOff>
    </xdr:from>
    <xdr:to>
      <xdr:col>5</xdr:col>
      <xdr:colOff>218660</xdr:colOff>
      <xdr:row>20</xdr:row>
      <xdr:rowOff>145773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305F92-7CA9-9A85-78C0-7079EBEFC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CAA8-6A2B-467A-9758-9362B78AA451}">
  <dimension ref="A1:U29"/>
  <sheetViews>
    <sheetView zoomScaleNormal="100" workbookViewId="0">
      <selection activeCell="A19" sqref="A19"/>
    </sheetView>
  </sheetViews>
  <sheetFormatPr defaultRowHeight="14.4" x14ac:dyDescent="0.3"/>
  <cols>
    <col min="1" max="1" width="28.44140625" customWidth="1"/>
    <col min="18" max="18" width="13.5546875" customWidth="1"/>
    <col min="19" max="19" width="15.44140625" customWidth="1"/>
    <col min="20" max="20" width="18.33203125" customWidth="1"/>
    <col min="21" max="21" width="18.109375" customWidth="1"/>
  </cols>
  <sheetData>
    <row r="1" spans="1:21" ht="15.6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R1" s="21" t="s">
        <v>23</v>
      </c>
      <c r="S1" s="22" t="s">
        <v>36</v>
      </c>
      <c r="T1" s="22" t="s">
        <v>37</v>
      </c>
      <c r="U1" s="23" t="s">
        <v>15</v>
      </c>
    </row>
    <row r="2" spans="1:21" ht="15.6" x14ac:dyDescent="0.3">
      <c r="A2" s="1" t="s">
        <v>0</v>
      </c>
      <c r="B2" s="1"/>
      <c r="C2" s="1">
        <v>24</v>
      </c>
      <c r="D2" s="1">
        <v>22</v>
      </c>
      <c r="E2" s="1">
        <v>15</v>
      </c>
      <c r="F2" s="1">
        <v>33</v>
      </c>
      <c r="G2" s="1">
        <v>18</v>
      </c>
      <c r="H2" s="1">
        <v>30</v>
      </c>
      <c r="I2" s="1">
        <v>27</v>
      </c>
      <c r="J2" s="1">
        <v>16</v>
      </c>
      <c r="K2" s="1">
        <v>11</v>
      </c>
      <c r="L2" s="1">
        <v>36</v>
      </c>
      <c r="M2" s="1">
        <v>7</v>
      </c>
      <c r="N2" s="1"/>
      <c r="R2" s="19" t="s">
        <v>14</v>
      </c>
      <c r="S2" s="18">
        <v>0</v>
      </c>
      <c r="T2" s="18">
        <v>24</v>
      </c>
      <c r="U2" s="20" t="s">
        <v>16</v>
      </c>
    </row>
    <row r="3" spans="1:21" ht="15.6" x14ac:dyDescent="0.3">
      <c r="A3" s="1" t="s">
        <v>1</v>
      </c>
      <c r="B3" s="2">
        <v>0</v>
      </c>
      <c r="C3" s="2">
        <v>0</v>
      </c>
      <c r="D3" s="2">
        <v>24</v>
      </c>
      <c r="E3" s="2">
        <v>24</v>
      </c>
      <c r="F3" s="2">
        <v>24</v>
      </c>
      <c r="G3" s="2">
        <v>39</v>
      </c>
      <c r="H3" s="2">
        <v>57</v>
      </c>
      <c r="I3" s="2">
        <v>57</v>
      </c>
      <c r="J3" s="2">
        <v>87</v>
      </c>
      <c r="K3" s="2">
        <v>103</v>
      </c>
      <c r="L3" s="2">
        <v>103</v>
      </c>
      <c r="M3" s="2">
        <v>139</v>
      </c>
      <c r="N3" s="2">
        <v>146</v>
      </c>
      <c r="R3" s="19" t="s">
        <v>13</v>
      </c>
      <c r="S3" s="18">
        <v>0</v>
      </c>
      <c r="T3" s="18">
        <v>22</v>
      </c>
      <c r="U3" s="20" t="s">
        <v>17</v>
      </c>
    </row>
    <row r="4" spans="1:21" ht="16.2" thickBot="1" x14ac:dyDescent="0.35">
      <c r="A4" s="1" t="s">
        <v>2</v>
      </c>
      <c r="B4" s="7">
        <v>0</v>
      </c>
      <c r="C4" s="7">
        <v>0</v>
      </c>
      <c r="D4" s="3">
        <v>38</v>
      </c>
      <c r="E4" s="3">
        <v>39</v>
      </c>
      <c r="F4" s="7">
        <v>24</v>
      </c>
      <c r="G4" s="3">
        <v>69</v>
      </c>
      <c r="H4" s="7">
        <v>57</v>
      </c>
      <c r="I4" s="3">
        <v>60</v>
      </c>
      <c r="J4" s="7">
        <v>87</v>
      </c>
      <c r="K4" s="3">
        <v>128</v>
      </c>
      <c r="L4" s="7">
        <v>103</v>
      </c>
      <c r="M4" s="7">
        <v>139</v>
      </c>
      <c r="N4" s="7">
        <v>146</v>
      </c>
      <c r="R4" s="19" t="s">
        <v>12</v>
      </c>
      <c r="S4" s="18">
        <v>24</v>
      </c>
      <c r="T4" s="18">
        <v>15</v>
      </c>
      <c r="U4" s="20" t="s">
        <v>17</v>
      </c>
    </row>
    <row r="5" spans="1:21" ht="31.8" thickBot="1" x14ac:dyDescent="0.35">
      <c r="A5" s="5" t="s">
        <v>3</v>
      </c>
      <c r="B5" s="14">
        <v>0</v>
      </c>
      <c r="C5" s="15">
        <v>0</v>
      </c>
      <c r="D5" s="6">
        <f>D4-D3</f>
        <v>14</v>
      </c>
      <c r="E5" s="12">
        <f t="shared" ref="E5:N5" si="0">E4-E3</f>
        <v>15</v>
      </c>
      <c r="F5" s="16">
        <f t="shared" si="0"/>
        <v>0</v>
      </c>
      <c r="G5" s="11">
        <f t="shared" si="0"/>
        <v>30</v>
      </c>
      <c r="H5" s="16">
        <f t="shared" si="0"/>
        <v>0</v>
      </c>
      <c r="I5" s="11">
        <f t="shared" si="0"/>
        <v>3</v>
      </c>
      <c r="J5" s="16">
        <f t="shared" si="0"/>
        <v>0</v>
      </c>
      <c r="K5" s="11">
        <f t="shared" si="0"/>
        <v>25</v>
      </c>
      <c r="L5" s="14">
        <f t="shared" si="0"/>
        <v>0</v>
      </c>
      <c r="M5" s="17">
        <f t="shared" si="0"/>
        <v>0</v>
      </c>
      <c r="N5" s="15">
        <f t="shared" si="0"/>
        <v>0</v>
      </c>
      <c r="R5" s="19" t="s">
        <v>11</v>
      </c>
      <c r="S5" s="18">
        <v>24</v>
      </c>
      <c r="T5" s="18">
        <v>33</v>
      </c>
      <c r="U5" s="20" t="s">
        <v>18</v>
      </c>
    </row>
    <row r="6" spans="1:21" ht="15.6" x14ac:dyDescent="0.3">
      <c r="R6" s="19" t="s">
        <v>10</v>
      </c>
      <c r="S6" s="18">
        <v>24</v>
      </c>
      <c r="T6" s="18">
        <v>18</v>
      </c>
      <c r="U6" s="20" t="s">
        <v>19</v>
      </c>
    </row>
    <row r="7" spans="1:21" ht="15.6" x14ac:dyDescent="0.3">
      <c r="R7" s="19" t="s">
        <v>9</v>
      </c>
      <c r="S7" s="18">
        <v>39</v>
      </c>
      <c r="T7" s="18">
        <v>30</v>
      </c>
      <c r="U7" s="20" t="s">
        <v>17</v>
      </c>
    </row>
    <row r="8" spans="1:21" ht="15.6" x14ac:dyDescent="0.3">
      <c r="R8" s="19" t="s">
        <v>8</v>
      </c>
      <c r="S8" s="18">
        <v>57</v>
      </c>
      <c r="T8" s="18">
        <v>27</v>
      </c>
      <c r="U8" s="20" t="s">
        <v>17</v>
      </c>
    </row>
    <row r="9" spans="1:21" ht="15.6" x14ac:dyDescent="0.3">
      <c r="R9" s="19" t="s">
        <v>7</v>
      </c>
      <c r="S9" s="18">
        <v>57</v>
      </c>
      <c r="T9" s="18">
        <v>16</v>
      </c>
      <c r="U9" s="20" t="s">
        <v>20</v>
      </c>
    </row>
    <row r="10" spans="1:21" ht="15.6" x14ac:dyDescent="0.3">
      <c r="R10" s="19" t="s">
        <v>6</v>
      </c>
      <c r="S10" s="18">
        <v>87</v>
      </c>
      <c r="T10" s="18">
        <v>11</v>
      </c>
      <c r="U10" s="20" t="s">
        <v>16</v>
      </c>
    </row>
    <row r="11" spans="1:21" ht="31.2" x14ac:dyDescent="0.3">
      <c r="R11" s="19" t="s">
        <v>5</v>
      </c>
      <c r="S11" s="18">
        <v>103</v>
      </c>
      <c r="T11" s="18">
        <v>36</v>
      </c>
      <c r="U11" s="20" t="s">
        <v>21</v>
      </c>
    </row>
    <row r="12" spans="1:21" ht="15.6" x14ac:dyDescent="0.3">
      <c r="R12" s="19" t="s">
        <v>4</v>
      </c>
      <c r="S12" s="18">
        <v>139</v>
      </c>
      <c r="T12" s="18">
        <v>7</v>
      </c>
      <c r="U12" s="20" t="s">
        <v>22</v>
      </c>
    </row>
    <row r="16" spans="1:21" x14ac:dyDescent="0.3">
      <c r="B16" s="1">
        <v>1</v>
      </c>
      <c r="C16" s="1">
        <v>2</v>
      </c>
      <c r="D16" s="1">
        <v>3</v>
      </c>
      <c r="E16" s="1">
        <v>4</v>
      </c>
      <c r="F16" s="1">
        <v>5</v>
      </c>
      <c r="G16" s="1">
        <v>6</v>
      </c>
      <c r="H16" s="1">
        <v>7</v>
      </c>
      <c r="I16" s="1">
        <v>8</v>
      </c>
      <c r="J16" s="1">
        <v>9</v>
      </c>
      <c r="K16" s="1">
        <v>10</v>
      </c>
      <c r="L16" s="1">
        <v>11</v>
      </c>
      <c r="M16" s="1">
        <v>12</v>
      </c>
      <c r="N16" s="1">
        <v>13</v>
      </c>
      <c r="O16" s="1">
        <v>14</v>
      </c>
      <c r="P16" s="1">
        <v>15</v>
      </c>
    </row>
    <row r="17" spans="1:16" x14ac:dyDescent="0.3">
      <c r="A17" s="1" t="s">
        <v>0</v>
      </c>
      <c r="B17" s="1"/>
      <c r="C17" s="1">
        <v>9</v>
      </c>
      <c r="D17" s="1">
        <v>8</v>
      </c>
      <c r="E17" s="1">
        <v>7</v>
      </c>
      <c r="F17" s="1">
        <v>9</v>
      </c>
      <c r="G17" s="1">
        <v>8</v>
      </c>
      <c r="H17" s="1">
        <v>7</v>
      </c>
      <c r="I17" s="1">
        <v>6</v>
      </c>
      <c r="J17" s="1">
        <v>7</v>
      </c>
      <c r="K17" s="1">
        <v>8</v>
      </c>
      <c r="L17" s="1">
        <v>5</v>
      </c>
      <c r="M17" s="1">
        <v>4</v>
      </c>
      <c r="N17" s="1">
        <v>3</v>
      </c>
      <c r="O17" s="1">
        <v>5</v>
      </c>
      <c r="P17" s="1"/>
    </row>
    <row r="18" spans="1:16" x14ac:dyDescent="0.3">
      <c r="A18" s="1" t="s">
        <v>1</v>
      </c>
      <c r="B18" s="4">
        <v>0</v>
      </c>
      <c r="C18" s="4">
        <v>0</v>
      </c>
      <c r="D18" s="4">
        <v>9</v>
      </c>
      <c r="E18" s="4">
        <v>9</v>
      </c>
      <c r="F18" s="4">
        <v>9</v>
      </c>
      <c r="G18" s="4">
        <v>17</v>
      </c>
      <c r="H18" s="4">
        <v>18</v>
      </c>
      <c r="I18" s="4">
        <v>18</v>
      </c>
      <c r="J18" s="4">
        <v>25</v>
      </c>
      <c r="K18" s="4">
        <v>24</v>
      </c>
      <c r="L18" s="4">
        <v>32</v>
      </c>
      <c r="M18" s="4">
        <v>32</v>
      </c>
      <c r="N18" s="4">
        <v>32</v>
      </c>
      <c r="O18" s="4">
        <v>37</v>
      </c>
      <c r="P18" s="4">
        <v>42</v>
      </c>
    </row>
    <row r="19" spans="1:16" ht="15" thickBot="1" x14ac:dyDescent="0.35">
      <c r="A19" s="1" t="s">
        <v>2</v>
      </c>
      <c r="B19" s="7">
        <v>0</v>
      </c>
      <c r="C19" s="7">
        <v>0</v>
      </c>
      <c r="D19" s="7">
        <v>9</v>
      </c>
      <c r="E19" s="3">
        <v>11</v>
      </c>
      <c r="F19" s="7">
        <v>9</v>
      </c>
      <c r="G19" s="7">
        <v>17</v>
      </c>
      <c r="H19" s="7">
        <v>18</v>
      </c>
      <c r="I19" s="3">
        <v>19</v>
      </c>
      <c r="J19" s="7">
        <v>25</v>
      </c>
      <c r="K19" s="3">
        <v>25</v>
      </c>
      <c r="L19" s="7">
        <v>32</v>
      </c>
      <c r="M19" s="3">
        <v>33</v>
      </c>
      <c r="N19" s="3">
        <v>34</v>
      </c>
      <c r="O19" s="7">
        <v>37</v>
      </c>
      <c r="P19" s="7">
        <v>42</v>
      </c>
    </row>
    <row r="20" spans="1:16" ht="15" thickBot="1" x14ac:dyDescent="0.35">
      <c r="A20" s="5" t="s">
        <v>3</v>
      </c>
      <c r="B20" s="8">
        <v>0</v>
      </c>
      <c r="C20" s="9">
        <f>C19-C18</f>
        <v>0</v>
      </c>
      <c r="D20" s="10">
        <f t="shared" ref="D20:P20" si="1">D19-D18</f>
        <v>0</v>
      </c>
      <c r="E20" s="11">
        <f t="shared" si="1"/>
        <v>2</v>
      </c>
      <c r="F20" s="8">
        <f t="shared" si="1"/>
        <v>0</v>
      </c>
      <c r="G20" s="9">
        <f t="shared" si="1"/>
        <v>0</v>
      </c>
      <c r="H20" s="10">
        <f t="shared" si="1"/>
        <v>0</v>
      </c>
      <c r="I20" s="11">
        <f t="shared" si="1"/>
        <v>1</v>
      </c>
      <c r="J20" s="13">
        <f t="shared" si="1"/>
        <v>0</v>
      </c>
      <c r="K20" s="11">
        <f t="shared" si="1"/>
        <v>1</v>
      </c>
      <c r="L20" s="13">
        <f t="shared" si="1"/>
        <v>0</v>
      </c>
      <c r="M20" s="6">
        <f t="shared" si="1"/>
        <v>1</v>
      </c>
      <c r="N20" s="12">
        <f t="shared" si="1"/>
        <v>2</v>
      </c>
      <c r="O20" s="8">
        <f t="shared" si="1"/>
        <v>0</v>
      </c>
      <c r="P20" s="10">
        <f t="shared" si="1"/>
        <v>0</v>
      </c>
    </row>
    <row r="26" spans="1:16" x14ac:dyDescent="0.3">
      <c r="A26" s="1"/>
    </row>
    <row r="27" spans="1:16" x14ac:dyDescent="0.3">
      <c r="A27" s="1"/>
    </row>
    <row r="28" spans="1:16" x14ac:dyDescent="0.3">
      <c r="A28" s="1"/>
    </row>
    <row r="29" spans="1:16" x14ac:dyDescent="0.3">
      <c r="A29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5F827-3BBC-4502-88E2-940EBFCB2E64}">
  <sheetPr filterMode="1"/>
  <dimension ref="A1:Q12"/>
  <sheetViews>
    <sheetView zoomScale="115" zoomScaleNormal="115" workbookViewId="0">
      <selection activeCell="A29" sqref="A29"/>
    </sheetView>
  </sheetViews>
  <sheetFormatPr defaultRowHeight="14.4" x14ac:dyDescent="0.3"/>
  <cols>
    <col min="1" max="1" width="13.21875" customWidth="1"/>
    <col min="2" max="2" width="39.5546875" customWidth="1"/>
    <col min="3" max="3" width="18.5546875" customWidth="1"/>
    <col min="4" max="4" width="19.33203125" customWidth="1"/>
    <col min="5" max="5" width="23.21875" customWidth="1"/>
    <col min="15" max="15" width="14.77734375" customWidth="1"/>
    <col min="16" max="16" width="18.77734375" customWidth="1"/>
    <col min="17" max="17" width="20" customWidth="1"/>
  </cols>
  <sheetData>
    <row r="1" spans="1:17" x14ac:dyDescent="0.3">
      <c r="A1" s="22" t="s">
        <v>23</v>
      </c>
      <c r="B1" s="22" t="s">
        <v>24</v>
      </c>
      <c r="C1" s="22" t="s">
        <v>36</v>
      </c>
      <c r="D1" s="22" t="s">
        <v>37</v>
      </c>
      <c r="E1" s="22" t="s">
        <v>15</v>
      </c>
      <c r="O1" s="22"/>
      <c r="P1" s="22"/>
      <c r="Q1" s="22"/>
    </row>
    <row r="2" spans="1:17" hidden="1" x14ac:dyDescent="0.3">
      <c r="A2" s="18">
        <v>1</v>
      </c>
      <c r="B2" s="18" t="s">
        <v>25</v>
      </c>
      <c r="C2" s="18">
        <v>0</v>
      </c>
      <c r="D2" s="18">
        <v>24</v>
      </c>
      <c r="E2" s="18" t="s">
        <v>16</v>
      </c>
      <c r="O2" s="18"/>
      <c r="P2" s="18">
        <v>24</v>
      </c>
      <c r="Q2" s="18" t="s">
        <v>16</v>
      </c>
    </row>
    <row r="3" spans="1:17" hidden="1" x14ac:dyDescent="0.3">
      <c r="A3" s="18">
        <v>2</v>
      </c>
      <c r="B3" s="18" t="s">
        <v>26</v>
      </c>
      <c r="C3" s="18">
        <v>0</v>
      </c>
      <c r="D3" s="18">
        <v>22</v>
      </c>
      <c r="E3" s="18" t="s">
        <v>17</v>
      </c>
      <c r="O3" s="18"/>
      <c r="P3" s="18"/>
      <c r="Q3" s="18"/>
    </row>
    <row r="4" spans="1:17" hidden="1" x14ac:dyDescent="0.3">
      <c r="A4" s="18">
        <v>3</v>
      </c>
      <c r="B4" s="18" t="s">
        <v>27</v>
      </c>
      <c r="C4" s="18">
        <v>24</v>
      </c>
      <c r="D4" s="18">
        <v>15</v>
      </c>
      <c r="E4" s="18" t="s">
        <v>17</v>
      </c>
    </row>
    <row r="5" spans="1:17" hidden="1" x14ac:dyDescent="0.3">
      <c r="A5" s="18">
        <v>4</v>
      </c>
      <c r="B5" s="18" t="s">
        <v>28</v>
      </c>
      <c r="C5" s="18">
        <v>24</v>
      </c>
      <c r="D5" s="18">
        <v>33</v>
      </c>
      <c r="E5" s="18" t="s">
        <v>18</v>
      </c>
    </row>
    <row r="6" spans="1:17" x14ac:dyDescent="0.3">
      <c r="A6" s="18">
        <v>5</v>
      </c>
      <c r="B6" s="18" t="s">
        <v>29</v>
      </c>
      <c r="C6" s="18">
        <v>24</v>
      </c>
      <c r="D6" s="18">
        <v>18</v>
      </c>
      <c r="E6" s="18" t="s">
        <v>19</v>
      </c>
    </row>
    <row r="7" spans="1:17" hidden="1" x14ac:dyDescent="0.3">
      <c r="A7" s="18">
        <v>6</v>
      </c>
      <c r="B7" s="18" t="s">
        <v>30</v>
      </c>
      <c r="C7" s="18">
        <v>39</v>
      </c>
      <c r="D7" s="18">
        <v>30</v>
      </c>
      <c r="E7" s="18" t="s">
        <v>17</v>
      </c>
    </row>
    <row r="8" spans="1:17" hidden="1" x14ac:dyDescent="0.3">
      <c r="A8" s="18">
        <v>7</v>
      </c>
      <c r="B8" s="18" t="s">
        <v>31</v>
      </c>
      <c r="C8" s="18">
        <v>57</v>
      </c>
      <c r="D8" s="18">
        <v>27</v>
      </c>
      <c r="E8" s="18" t="s">
        <v>17</v>
      </c>
    </row>
    <row r="9" spans="1:17" hidden="1" x14ac:dyDescent="0.3">
      <c r="A9" s="18">
        <v>8</v>
      </c>
      <c r="B9" s="18" t="s">
        <v>32</v>
      </c>
      <c r="C9" s="18">
        <v>57</v>
      </c>
      <c r="D9" s="18">
        <v>16</v>
      </c>
      <c r="E9" s="18" t="s">
        <v>20</v>
      </c>
    </row>
    <row r="10" spans="1:17" hidden="1" x14ac:dyDescent="0.3">
      <c r="A10" s="18">
        <v>9</v>
      </c>
      <c r="B10" s="18" t="s">
        <v>33</v>
      </c>
      <c r="C10" s="18">
        <v>87</v>
      </c>
      <c r="D10" s="18">
        <v>11</v>
      </c>
      <c r="E10" s="18" t="s">
        <v>16</v>
      </c>
      <c r="O10" s="18">
        <v>87</v>
      </c>
      <c r="P10" s="18">
        <v>11</v>
      </c>
      <c r="Q10" s="18" t="s">
        <v>16</v>
      </c>
    </row>
    <row r="11" spans="1:17" hidden="1" x14ac:dyDescent="0.3">
      <c r="A11" s="18">
        <v>10</v>
      </c>
      <c r="B11" s="18" t="s">
        <v>34</v>
      </c>
      <c r="C11" s="18">
        <v>103</v>
      </c>
      <c r="D11" s="18">
        <v>36</v>
      </c>
      <c r="E11" s="18" t="s">
        <v>21</v>
      </c>
    </row>
    <row r="12" spans="1:17" hidden="1" x14ac:dyDescent="0.3">
      <c r="A12" s="18">
        <v>11</v>
      </c>
      <c r="B12" s="18" t="s">
        <v>35</v>
      </c>
      <c r="C12" s="18">
        <v>139</v>
      </c>
      <c r="D12" s="18">
        <v>7</v>
      </c>
      <c r="E12" s="18" t="s">
        <v>22</v>
      </c>
    </row>
  </sheetData>
  <autoFilter ref="A1:E12" xr:uid="{AD15F827-3BBC-4502-88E2-940EBFCB2E64}">
    <filterColumn colId="4">
      <filters>
        <filter val="IT-поддержка"/>
      </filters>
    </filterColumn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A969-7652-4E39-AD20-6A0CC04B4DEE}">
  <dimension ref="A5:Y9"/>
  <sheetViews>
    <sheetView tabSelected="1" zoomScale="85" zoomScaleNormal="85" workbookViewId="0">
      <selection activeCell="P35" sqref="P35"/>
    </sheetView>
  </sheetViews>
  <sheetFormatPr defaultRowHeight="14.4" x14ac:dyDescent="0.3"/>
  <cols>
    <col min="1" max="1" width="24.44140625" customWidth="1"/>
  </cols>
  <sheetData>
    <row r="5" spans="1:25" x14ac:dyDescent="0.3">
      <c r="A5" s="24"/>
      <c r="B5" s="24">
        <v>1</v>
      </c>
      <c r="C5" s="24">
        <v>2</v>
      </c>
      <c r="D5" s="24">
        <v>3</v>
      </c>
      <c r="E5" s="24">
        <v>4</v>
      </c>
      <c r="F5" s="24">
        <v>5</v>
      </c>
      <c r="G5" s="24">
        <v>6</v>
      </c>
      <c r="H5" s="24">
        <v>7</v>
      </c>
      <c r="I5" s="24">
        <v>8</v>
      </c>
      <c r="J5" s="24">
        <v>9</v>
      </c>
      <c r="K5" s="24">
        <v>10</v>
      </c>
      <c r="L5" s="24">
        <v>11</v>
      </c>
      <c r="M5" s="24">
        <v>12</v>
      </c>
      <c r="N5" s="24">
        <v>13</v>
      </c>
      <c r="O5" s="24">
        <v>14</v>
      </c>
      <c r="P5" s="24">
        <v>15</v>
      </c>
      <c r="Q5" s="24">
        <v>16</v>
      </c>
      <c r="R5" s="24">
        <v>17</v>
      </c>
      <c r="S5" s="24">
        <v>18</v>
      </c>
      <c r="T5" s="24">
        <v>19</v>
      </c>
      <c r="U5" s="24">
        <v>20</v>
      </c>
      <c r="V5" s="24">
        <v>21</v>
      </c>
      <c r="W5" s="24">
        <v>22</v>
      </c>
      <c r="X5" s="24">
        <v>23</v>
      </c>
      <c r="Y5" s="24">
        <v>24</v>
      </c>
    </row>
    <row r="6" spans="1:25" x14ac:dyDescent="0.3">
      <c r="A6" s="25" t="s">
        <v>0</v>
      </c>
      <c r="B6" s="25">
        <v>0</v>
      </c>
      <c r="C6" s="25">
        <v>5</v>
      </c>
      <c r="D6" s="25">
        <v>4</v>
      </c>
      <c r="E6" s="25">
        <v>4</v>
      </c>
      <c r="F6" s="25">
        <v>0</v>
      </c>
      <c r="G6" s="25">
        <v>3</v>
      </c>
      <c r="H6" s="25">
        <v>3</v>
      </c>
      <c r="I6" s="25">
        <v>2</v>
      </c>
      <c r="J6" s="25">
        <v>0</v>
      </c>
      <c r="K6" s="25">
        <v>5</v>
      </c>
      <c r="L6" s="25">
        <v>6</v>
      </c>
      <c r="M6" s="25">
        <v>4</v>
      </c>
      <c r="N6" s="25">
        <v>5</v>
      </c>
      <c r="O6" s="25">
        <v>2</v>
      </c>
      <c r="P6" s="25">
        <v>0</v>
      </c>
      <c r="Q6" s="25">
        <v>4</v>
      </c>
      <c r="R6" s="25">
        <v>5</v>
      </c>
      <c r="S6" s="25">
        <v>0</v>
      </c>
      <c r="T6" s="25">
        <v>4</v>
      </c>
      <c r="U6" s="25">
        <v>4</v>
      </c>
      <c r="V6" s="25">
        <v>5</v>
      </c>
      <c r="W6" s="25">
        <v>0</v>
      </c>
      <c r="X6" s="25">
        <v>8</v>
      </c>
      <c r="Y6" s="25">
        <v>4</v>
      </c>
    </row>
    <row r="7" spans="1:25" x14ac:dyDescent="0.3">
      <c r="A7" s="26" t="s">
        <v>1</v>
      </c>
      <c r="B7" s="26">
        <v>0</v>
      </c>
      <c r="C7" s="26">
        <v>5</v>
      </c>
      <c r="D7" s="26">
        <v>4</v>
      </c>
      <c r="E7" s="26">
        <v>4</v>
      </c>
      <c r="F7" s="26">
        <v>5</v>
      </c>
      <c r="G7" s="26">
        <v>8</v>
      </c>
      <c r="H7" s="26">
        <v>8</v>
      </c>
      <c r="I7" s="26">
        <v>7</v>
      </c>
      <c r="J7" s="26">
        <v>8</v>
      </c>
      <c r="K7" s="26">
        <v>13</v>
      </c>
      <c r="L7" s="26">
        <v>14</v>
      </c>
      <c r="M7" s="26">
        <v>12</v>
      </c>
      <c r="N7" s="26">
        <v>13</v>
      </c>
      <c r="O7" s="26">
        <v>10</v>
      </c>
      <c r="P7" s="26">
        <v>14</v>
      </c>
      <c r="Q7" s="26">
        <v>18</v>
      </c>
      <c r="R7" s="26">
        <v>19</v>
      </c>
      <c r="S7" s="26">
        <v>19</v>
      </c>
      <c r="T7" s="26">
        <v>23</v>
      </c>
      <c r="U7" s="26">
        <v>23</v>
      </c>
      <c r="V7" s="26">
        <v>24</v>
      </c>
      <c r="W7" s="26">
        <v>24</v>
      </c>
      <c r="X7" s="26">
        <v>32</v>
      </c>
      <c r="Y7" s="26">
        <v>36</v>
      </c>
    </row>
    <row r="8" spans="1:25" x14ac:dyDescent="0.3">
      <c r="A8" s="27" t="s">
        <v>2</v>
      </c>
      <c r="B8" s="27">
        <v>0</v>
      </c>
      <c r="C8" s="27">
        <v>5</v>
      </c>
      <c r="D8" s="27">
        <v>5</v>
      </c>
      <c r="E8" s="27">
        <v>5</v>
      </c>
      <c r="F8" s="27">
        <v>5</v>
      </c>
      <c r="G8" s="27">
        <v>8</v>
      </c>
      <c r="H8" s="27">
        <v>8</v>
      </c>
      <c r="I8" s="27">
        <v>8</v>
      </c>
      <c r="J8" s="27">
        <v>8</v>
      </c>
      <c r="K8" s="27">
        <v>14</v>
      </c>
      <c r="L8" s="27">
        <v>14</v>
      </c>
      <c r="M8" s="27">
        <v>14</v>
      </c>
      <c r="N8" s="27">
        <v>14</v>
      </c>
      <c r="O8" s="27">
        <v>14</v>
      </c>
      <c r="P8" s="27">
        <v>14</v>
      </c>
      <c r="Q8" s="27">
        <v>19</v>
      </c>
      <c r="R8" s="27">
        <v>19</v>
      </c>
      <c r="S8" s="27">
        <v>19</v>
      </c>
      <c r="T8" s="27">
        <v>24</v>
      </c>
      <c r="U8" s="27">
        <v>24</v>
      </c>
      <c r="V8" s="27">
        <v>24</v>
      </c>
      <c r="W8" s="27">
        <v>24</v>
      </c>
      <c r="X8" s="27">
        <v>32</v>
      </c>
      <c r="Y8" s="27">
        <v>36</v>
      </c>
    </row>
    <row r="9" spans="1:25" x14ac:dyDescent="0.3">
      <c r="A9" s="28" t="s">
        <v>3</v>
      </c>
      <c r="B9" s="28">
        <f>B8-B7</f>
        <v>0</v>
      </c>
      <c r="C9" s="28">
        <f t="shared" ref="C9:Y9" si="0">C8-C7</f>
        <v>0</v>
      </c>
      <c r="D9" s="28">
        <f t="shared" si="0"/>
        <v>1</v>
      </c>
      <c r="E9" s="28">
        <f t="shared" si="0"/>
        <v>1</v>
      </c>
      <c r="F9" s="28">
        <f t="shared" si="0"/>
        <v>0</v>
      </c>
      <c r="G9" s="28">
        <f t="shared" si="0"/>
        <v>0</v>
      </c>
      <c r="H9" s="28">
        <f t="shared" si="0"/>
        <v>0</v>
      </c>
      <c r="I9" s="28">
        <f t="shared" si="0"/>
        <v>1</v>
      </c>
      <c r="J9" s="28">
        <f t="shared" si="0"/>
        <v>0</v>
      </c>
      <c r="K9" s="28">
        <f t="shared" si="0"/>
        <v>1</v>
      </c>
      <c r="L9" s="28">
        <f t="shared" si="0"/>
        <v>0</v>
      </c>
      <c r="M9" s="28">
        <f t="shared" si="0"/>
        <v>2</v>
      </c>
      <c r="N9" s="28">
        <f t="shared" si="0"/>
        <v>1</v>
      </c>
      <c r="O9" s="28">
        <f t="shared" si="0"/>
        <v>4</v>
      </c>
      <c r="P9" s="28">
        <f t="shared" si="0"/>
        <v>0</v>
      </c>
      <c r="Q9" s="28">
        <f t="shared" si="0"/>
        <v>1</v>
      </c>
      <c r="R9" s="28">
        <f t="shared" si="0"/>
        <v>0</v>
      </c>
      <c r="S9" s="28">
        <f t="shared" si="0"/>
        <v>0</v>
      </c>
      <c r="T9" s="28">
        <f t="shared" si="0"/>
        <v>1</v>
      </c>
      <c r="U9" s="28">
        <f t="shared" si="0"/>
        <v>1</v>
      </c>
      <c r="V9" s="28">
        <f t="shared" si="0"/>
        <v>0</v>
      </c>
      <c r="W9" s="28">
        <f t="shared" si="0"/>
        <v>0</v>
      </c>
      <c r="X9" s="28">
        <f t="shared" si="0"/>
        <v>0</v>
      </c>
      <c r="Y9" s="28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ResourcesData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Cao Bách</dc:creator>
  <cp:lastModifiedBy>Nguyễn Cao Bách</cp:lastModifiedBy>
  <dcterms:created xsi:type="dcterms:W3CDTF">2025-10-24T08:06:15Z</dcterms:created>
  <dcterms:modified xsi:type="dcterms:W3CDTF">2025-11-26T11:58:47Z</dcterms:modified>
</cp:coreProperties>
</file>