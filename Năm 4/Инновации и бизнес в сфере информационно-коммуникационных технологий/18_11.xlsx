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n\Nam 4\Kì 1\Инновации и бизнес в сфере информационно-коммуникационных технологий\"/>
    </mc:Choice>
  </mc:AlternateContent>
  <xr:revisionPtr revIDLastSave="0" documentId="13_ncr:1_{A9EC8DA5-8192-4058-99E8-F7271FE2BBDE}" xr6:coauthVersionLast="47" xr6:coauthVersionMax="47" xr10:uidLastSave="{00000000-0000-0000-0000-000000000000}"/>
  <bookViews>
    <workbookView xWindow="-108" yWindow="-108" windowWidth="23256" windowHeight="13896" xr2:uid="{8202ED36-B42F-42B3-B3AF-24BD85F30FA3}"/>
  </bookViews>
  <sheets>
    <sheet name="Лист1" sheetId="1" r:id="rId1"/>
  </sheets>
  <definedNames>
    <definedName name="_xlchart.v1.0" hidden="1">Лист1!$B$56:$B$63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8" i="1" l="1"/>
  <c r="C86" i="1"/>
  <c r="J13" i="1"/>
  <c r="C74" i="1"/>
  <c r="C75" i="1"/>
  <c r="C76" i="1"/>
  <c r="C77" i="1"/>
  <c r="C78" i="1"/>
  <c r="C79" i="1"/>
  <c r="C80" i="1"/>
  <c r="C81" i="1"/>
  <c r="I15" i="1"/>
  <c r="I14" i="1"/>
  <c r="C87" i="1" s="1"/>
  <c r="I13" i="1"/>
  <c r="E24" i="1"/>
  <c r="E20" i="1" s="1"/>
  <c r="D13" i="1"/>
  <c r="C13" i="1"/>
  <c r="B68" i="1"/>
  <c r="B67" i="1"/>
  <c r="B66" i="1"/>
  <c r="B65" i="1"/>
  <c r="B51" i="1"/>
  <c r="B50" i="1"/>
  <c r="F4" i="1"/>
  <c r="F5" i="1"/>
  <c r="F6" i="1"/>
  <c r="F7" i="1"/>
  <c r="F8" i="1"/>
  <c r="F9" i="1"/>
  <c r="F3" i="1"/>
  <c r="E3" i="1"/>
  <c r="E4" i="1"/>
  <c r="E5" i="1"/>
  <c r="E6" i="1"/>
  <c r="E7" i="1"/>
  <c r="E8" i="1"/>
  <c r="E9" i="1"/>
  <c r="E2" i="1"/>
  <c r="D4" i="1"/>
  <c r="D5" i="1"/>
  <c r="D6" i="1"/>
  <c r="D7" i="1"/>
  <c r="D8" i="1"/>
  <c r="D9" i="1"/>
  <c r="D3" i="1"/>
  <c r="C4" i="1"/>
  <c r="C5" i="1"/>
  <c r="C6" i="1"/>
  <c r="C7" i="1"/>
  <c r="C8" i="1"/>
  <c r="C9" i="1"/>
  <c r="C3" i="1"/>
  <c r="E13" i="1" l="1"/>
  <c r="C73" i="1"/>
  <c r="C82" i="1"/>
  <c r="J15" i="1"/>
  <c r="E17" i="1"/>
  <c r="B52" i="1"/>
  <c r="E15" i="1"/>
  <c r="E18" i="1"/>
  <c r="E16" i="1"/>
  <c r="J14" i="1"/>
  <c r="E19" i="1"/>
  <c r="E14" i="1"/>
  <c r="E22" i="1"/>
  <c r="E21" i="1"/>
  <c r="H2" i="1"/>
  <c r="G2" i="1"/>
</calcChain>
</file>

<file path=xl/sharedStrings.xml><?xml version="1.0" encoding="utf-8"?>
<sst xmlns="http://schemas.openxmlformats.org/spreadsheetml/2006/main" count="95" uniqueCount="74">
  <si>
    <t>Объем продаж</t>
  </si>
  <si>
    <t>год</t>
  </si>
  <si>
    <t>Темп роста продаж, %</t>
  </si>
  <si>
    <t>Темп прироста продаж, %</t>
  </si>
  <si>
    <t>-</t>
  </si>
  <si>
    <t>Абс. Прирост, базисный, руб.</t>
  </si>
  <si>
    <t>Абс прирост цепной, руб.</t>
  </si>
  <si>
    <t>Средний темп роста, %</t>
  </si>
  <si>
    <t>Средний абс. Прирост, руб.</t>
  </si>
  <si>
    <t>Объем продаж, руб.</t>
  </si>
  <si>
    <t>Модальный объем продаж, руб.</t>
  </si>
  <si>
    <t>Медианный объем продаж, руб.</t>
  </si>
  <si>
    <t>компании</t>
  </si>
  <si>
    <t>Средняя цена продукта, руб.</t>
  </si>
  <si>
    <t>Программа лояльности, скидки</t>
  </si>
  <si>
    <t>Пострроить гистограмму</t>
  </si>
  <si>
    <t>целевая аудитория</t>
  </si>
  <si>
    <t>доля от населения в регионе</t>
  </si>
  <si>
    <t>годы</t>
  </si>
  <si>
    <t>Акции PS4 (скидки 10–20%)</t>
  </si>
  <si>
    <t>Комплект PS4 + игра</t>
  </si>
  <si>
    <t>Сезонные скидки (весна)</t>
  </si>
  <si>
    <t>Подписка PS Plus «Базовый»</t>
  </si>
  <si>
    <t>Подписка PS Plus «Расширенный»</t>
  </si>
  <si>
    <t>Чёрная пятница (до –30%)</t>
  </si>
  <si>
    <t>Комплект PS5 + игра</t>
  </si>
  <si>
    <t>Трейд-ин и цифровые скидки</t>
  </si>
  <si>
    <t>Показатель</t>
  </si>
  <si>
    <t>Значение</t>
  </si>
  <si>
    <t>Цена в году 3</t>
  </si>
  <si>
    <t>Цена в году 4</t>
  </si>
  <si>
    <t>Объём продаж в году 3</t>
  </si>
  <si>
    <t>Объём продаж в году 4</t>
  </si>
  <si>
    <t>%ΔQ (процентное изменение спроса)</t>
  </si>
  <si>
    <t>%ΔP (процентное изменение цены)</t>
  </si>
  <si>
    <t>PED (эластичность спроса)</t>
  </si>
  <si>
    <t>Среднее арифметическое</t>
  </si>
  <si>
    <t>Медиана</t>
  </si>
  <si>
    <t>Мода</t>
  </si>
  <si>
    <t>Стандартное отклонение</t>
  </si>
  <si>
    <t>Другие / Остальные</t>
  </si>
  <si>
    <t>PlayStation (новые консоли)</t>
  </si>
  <si>
    <t>Xbox (новые консоли)</t>
  </si>
  <si>
    <t>Steam Deck (новые устройства)</t>
  </si>
  <si>
    <t>Nintendo Switch (новые)</t>
  </si>
  <si>
    <t>PlayStation (б/у, PS4 и др.)</t>
  </si>
  <si>
    <t>Xbox (б/у, Xbox One и др.)</t>
  </si>
  <si>
    <t>SUP / портативные clone-консоли</t>
  </si>
  <si>
    <t>Ретро-консоли (китайские и др.)</t>
  </si>
  <si>
    <t>Консоли серого импорта</t>
  </si>
  <si>
    <t>Рыночная доля, %</t>
  </si>
  <si>
    <t>Итого рынка</t>
  </si>
  <si>
    <t>Ценовой сегмент</t>
  </si>
  <si>
    <t>Компании</t>
  </si>
  <si>
    <t>Премиальный</t>
  </si>
  <si>
    <t>PlayStation (новые), Steam Deck</t>
  </si>
  <si>
    <t>Средний</t>
  </si>
  <si>
    <t>Бюджетный</t>
  </si>
  <si>
    <t>Xbox (новые), Nintendo Switch</t>
  </si>
  <si>
    <t>б/у, SUP, ретро, серый импорт, другие</t>
  </si>
  <si>
    <t>Суммарный объем продаж, руб.</t>
  </si>
  <si>
    <t>Доля сегмента, %</t>
  </si>
  <si>
    <t>Средняя цена, руб.</t>
  </si>
  <si>
    <t>заработная плата, руб./мес</t>
  </si>
  <si>
    <t>возраст покупателя</t>
  </si>
  <si>
    <t>18–30</t>
  </si>
  <si>
    <t>18–32</t>
  </si>
  <si>
    <t>18–34</t>
  </si>
  <si>
    <t>20–35</t>
  </si>
  <si>
    <t>20–38</t>
  </si>
  <si>
    <t>20–40</t>
  </si>
  <si>
    <t>22–40</t>
  </si>
  <si>
    <t>Доля рынка, %</t>
  </si>
  <si>
    <t>В качестве объекта исследования была выбрана экосистема PlayStation, что позволило проследить как ценовые изменения, так и изменение поведения покупателей в периоды перехода от PS4 к PS5. Анализ динамики средней цены показал устойчивый рост стоимости продукта в течение восьми периодов. Средняя цена увеличилась с 29 999 до 69 999 руб., что связано с обновлением поколения консолей, ограниченными поставками PS5, влиянием курса валют и усилением параллельного импорта. Линейный тренд с высоким коэффициентом детерминации R² подтверждает, что рост был последовательным и предсказуемым.
Изменение объёма продаж демонстрирует противоположную динамику — от 620 тысяч единиц в первом периоде к 260 тысячам к финалу наблюдений. Таким образом, график чётко отражает движение продукта от стадии зрелости к стадии спада жизненного цикла. Резкие падения продаж совпадают с моментами появления новой модели и перераспределением спроса в пользу PS5.
Расчёт ценовой эластичности спроса показал значение –0.993, что практически соответствует единичной эластичности. Это означает, что потребители чувствительно реагируют на изменение цены: рост стоимости почти пропорционально снижает количество покупок. Такая ситуация типична для российского рынка, где значительная часть потребителей ориентируется на доступность техники и акции.
Рыночная структура демонстрирует высокую концентрацию: 79% рынка занимает премиальный сегмент (PlayStation и Steam Deck), тогда как средний и бюджетный сегменты составляют 14% и 7% соответственно. Это говорит о смещении покупательского предпочтения в сторону более дорогих решений, что связано с популярностью современных технологий и высокой ценностью игрового опыта. Позиционирование компаний на рынке подтверждает доминирование PlayStation: высокая цена сочетается с рекордной долей — 70%. Остальные участники рынка занимают значительно меньшие ниши, что указывает на ярко выраженное лидерство одного бренда и фрагментацию конкурентов. В целом исследование показывает, что рынок игровых консолей в России развивается неравномерно, характеризуется высокой чувствительностью спроса к цене и значительной зависимостью от новизны продукта. Стратегии компаний должны учитывать высокую эластичность спроса, важность ценовых сегментов и растущую роль премиальных решений.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</si>
</sst>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4" borderId="1" xfId="0" applyFill="1" applyBorder="1" applyAlignment="1">
      <alignment horizontal="center" vertical="center"/>
    </xf>
    <xf numFmtId="0" fontId="0" fillId="2" borderId="1" xfId="0" applyFill="1" applyBorder="1"/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0" fillId="3" borderId="1" xfId="0" applyFill="1" applyBorder="1"/>
    <xf numFmtId="0" fontId="0" fillId="7" borderId="0" xfId="0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9" fontId="0" fillId="0" borderId="17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9" fontId="0" fillId="0" borderId="18" xfId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0" applyNumberForma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2" xfId="0" applyBorder="1"/>
    <xf numFmtId="0" fontId="0" fillId="2" borderId="0" xfId="0" applyFill="1" applyAlignment="1">
      <alignment horizontal="center" vertical="center" wrapText="1"/>
    </xf>
    <xf numFmtId="0" fontId="4" fillId="4" borderId="25" xfId="0" applyFont="1" applyFill="1" applyBorder="1" applyAlignment="1">
      <alignment horizontal="left" vertical="top" wrapText="1"/>
    </xf>
    <xf numFmtId="0" fontId="4" fillId="4" borderId="26" xfId="0" applyFont="1" applyFill="1" applyBorder="1" applyAlignment="1">
      <alignment horizontal="left" vertical="top"/>
    </xf>
    <xf numFmtId="0" fontId="4" fillId="4" borderId="27" xfId="0" applyFont="1" applyFill="1" applyBorder="1" applyAlignment="1">
      <alignment horizontal="left" vertical="top"/>
    </xf>
    <xf numFmtId="0" fontId="4" fillId="4" borderId="28" xfId="0" applyFont="1" applyFill="1" applyBorder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4" fillId="4" borderId="29" xfId="0" applyFont="1" applyFill="1" applyBorder="1" applyAlignment="1">
      <alignment horizontal="left" vertical="top"/>
    </xf>
    <xf numFmtId="0" fontId="4" fillId="4" borderId="30" xfId="0" applyFont="1" applyFill="1" applyBorder="1" applyAlignment="1">
      <alignment horizontal="left" vertical="top"/>
    </xf>
    <xf numFmtId="0" fontId="4" fillId="4" borderId="31" xfId="0" applyFont="1" applyFill="1" applyBorder="1" applyAlignment="1">
      <alignment horizontal="left" vertical="top"/>
    </xf>
    <xf numFmtId="0" fontId="4" fillId="4" borderId="32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Динамика средней цены продукта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Лист1!$A$23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Лист1!$A$24:$A$31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2-4C68-92F1-9A73E1AF1BAE}"/>
            </c:ext>
          </c:extLst>
        </c:ser>
        <c:ser>
          <c:idx val="1"/>
          <c:order val="1"/>
          <c:tx>
            <c:strRef>
              <c:f>Лист1!$B$23</c:f>
              <c:strCache>
                <c:ptCount val="1"/>
                <c:pt idx="0">
                  <c:v>Средняя цена продукта, руб.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1123578302712164E-2"/>
                  <c:y val="0.138472222222222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Лист1!$B$24:$B$31</c:f>
              <c:numCache>
                <c:formatCode>General</c:formatCode>
                <c:ptCount val="8"/>
                <c:pt idx="0">
                  <c:v>29999</c:v>
                </c:pt>
                <c:pt idx="1">
                  <c:v>32999</c:v>
                </c:pt>
                <c:pt idx="2">
                  <c:v>39999</c:v>
                </c:pt>
                <c:pt idx="3">
                  <c:v>54999</c:v>
                </c:pt>
                <c:pt idx="4">
                  <c:v>54999</c:v>
                </c:pt>
                <c:pt idx="5">
                  <c:v>56999</c:v>
                </c:pt>
                <c:pt idx="6">
                  <c:v>64999</c:v>
                </c:pt>
                <c:pt idx="7">
                  <c:v>69999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A2-4C68-92F1-9A73E1AF1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308463"/>
        <c:axId val="1729308943"/>
      </c:lineChart>
      <c:catAx>
        <c:axId val="1729308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08943"/>
        <c:crosses val="autoZero"/>
        <c:auto val="1"/>
        <c:lblAlgn val="ctr"/>
        <c:lblOffset val="100"/>
        <c:noMultiLvlLbl val="0"/>
      </c:catAx>
      <c:valAx>
        <c:axId val="172930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0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Объем продаж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7920542197682325E-2"/>
                  <c:y val="-0.171962852564499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Лист1!$A$2:$A$9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Лист1!$B$2:$B$9</c:f>
              <c:numCache>
                <c:formatCode>General</c:formatCode>
                <c:ptCount val="8"/>
                <c:pt idx="0">
                  <c:v>620000</c:v>
                </c:pt>
                <c:pt idx="1">
                  <c:v>580000</c:v>
                </c:pt>
                <c:pt idx="2">
                  <c:v>510000</c:v>
                </c:pt>
                <c:pt idx="3">
                  <c:v>320000</c:v>
                </c:pt>
                <c:pt idx="4">
                  <c:v>450000</c:v>
                </c:pt>
                <c:pt idx="5">
                  <c:v>180000</c:v>
                </c:pt>
                <c:pt idx="6">
                  <c:v>210000</c:v>
                </c:pt>
                <c:pt idx="7">
                  <c:v>260000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0D-489A-B9D5-E56BA02FB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1940784"/>
        <c:axId val="1821959024"/>
      </c:lineChart>
      <c:catAx>
        <c:axId val="182194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59024"/>
        <c:crosses val="autoZero"/>
        <c:auto val="1"/>
        <c:lblAlgn val="ctr"/>
        <c:lblOffset val="100"/>
        <c:noMultiLvlLbl val="0"/>
      </c:catAx>
      <c:valAx>
        <c:axId val="182195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4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Лист1!$D$1:$D$2</c:f>
              <c:strCache>
                <c:ptCount val="2"/>
                <c:pt idx="0">
                  <c:v>Темп прироста продаж, %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1855785286371444E-2"/>
                  <c:y val="0.197053563584905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Лист1!$A$3:$A$9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Лист1!$D$3:$D$9</c:f>
              <c:numCache>
                <c:formatCode>0.00</c:formatCode>
                <c:ptCount val="7"/>
                <c:pt idx="0">
                  <c:v>-6.4516129032258061</c:v>
                </c:pt>
                <c:pt idx="1">
                  <c:v>-12.068965517241379</c:v>
                </c:pt>
                <c:pt idx="2">
                  <c:v>-37.254901960784316</c:v>
                </c:pt>
                <c:pt idx="3">
                  <c:v>40.625</c:v>
                </c:pt>
                <c:pt idx="4">
                  <c:v>-60</c:v>
                </c:pt>
                <c:pt idx="5">
                  <c:v>16.666666666666664</c:v>
                </c:pt>
                <c:pt idx="6">
                  <c:v>23.809523809523807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F5-4A37-8EDF-B71EF665C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793488"/>
        <c:axId val="1926794928"/>
      </c:lineChart>
      <c:catAx>
        <c:axId val="192679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794928"/>
        <c:crosses val="autoZero"/>
        <c:auto val="1"/>
        <c:lblAlgn val="ctr"/>
        <c:lblOffset val="100"/>
        <c:noMultiLvlLbl val="0"/>
      </c:catAx>
      <c:valAx>
        <c:axId val="192679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79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Рыночные доли ценовых сегментов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Лист1!$J$12</c:f>
              <c:strCache>
                <c:ptCount val="1"/>
                <c:pt idx="0">
                  <c:v>Доля сегмента, %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70-4090-9443-179A9389DC41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670-4090-9443-179A9389DC4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70-4090-9443-179A9389DC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Лист1!$G$13:$G$15</c:f>
              <c:strCache>
                <c:ptCount val="3"/>
                <c:pt idx="0">
                  <c:v>Премиальный</c:v>
                </c:pt>
                <c:pt idx="1">
                  <c:v>Средний</c:v>
                </c:pt>
                <c:pt idx="2">
                  <c:v>Бюджетный</c:v>
                </c:pt>
              </c:strCache>
            </c:strRef>
          </c:cat>
          <c:val>
            <c:numRef>
              <c:f>Лист1!$J$13:$J$15</c:f>
              <c:numCache>
                <c:formatCode>0%</c:formatCode>
                <c:ptCount val="3"/>
                <c:pt idx="0">
                  <c:v>0.79113727920669352</c:v>
                </c:pt>
                <c:pt idx="1">
                  <c:v>0.13944840409048653</c:v>
                </c:pt>
                <c:pt idx="2">
                  <c:v>6.9414316702819959E-2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0-4090-9443-179A9389D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Позиционирование компаний на рынке игровых консолей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Лист1!$C$72</c:f>
              <c:strCache>
                <c:ptCount val="1"/>
                <c:pt idx="0">
                  <c:v>Рыночная доля, %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Лист1!$B$73:$B$82</c:f>
              <c:numCache>
                <c:formatCode>General</c:formatCode>
                <c:ptCount val="10"/>
                <c:pt idx="0">
                  <c:v>59000</c:v>
                </c:pt>
                <c:pt idx="1">
                  <c:v>45000</c:v>
                </c:pt>
                <c:pt idx="2">
                  <c:v>49000</c:v>
                </c:pt>
                <c:pt idx="3">
                  <c:v>29000</c:v>
                </c:pt>
                <c:pt idx="4">
                  <c:v>20000</c:v>
                </c:pt>
                <c:pt idx="5">
                  <c:v>18000</c:v>
                </c:pt>
                <c:pt idx="6">
                  <c:v>3000</c:v>
                </c:pt>
                <c:pt idx="7">
                  <c:v>5000</c:v>
                </c:pt>
                <c:pt idx="8">
                  <c:v>15000</c:v>
                </c:pt>
                <c:pt idx="9">
                  <c:v>10000</c:v>
                </c:pt>
              </c:numCache>
            </c:numRef>
          </c:xVal>
          <c:yVal>
            <c:numRef>
              <c:f>Лист1!$C$73:$C$82</c:f>
              <c:numCache>
                <c:formatCode>0%</c:formatCode>
                <c:ptCount val="10"/>
                <c:pt idx="0">
                  <c:v>0.70281995661605201</c:v>
                </c:pt>
                <c:pt idx="1">
                  <c:v>8.7387666563371547E-2</c:v>
                </c:pt>
                <c:pt idx="2">
                  <c:v>8.8317322590641456E-2</c:v>
                </c:pt>
                <c:pt idx="3">
                  <c:v>5.2060737527114966E-2</c:v>
                </c:pt>
                <c:pt idx="4">
                  <c:v>2.0142547257514718E-2</c:v>
                </c:pt>
                <c:pt idx="5">
                  <c:v>6.1977068484660672E-3</c:v>
                </c:pt>
                <c:pt idx="6">
                  <c:v>9.2965602726991017E-3</c:v>
                </c:pt>
                <c:pt idx="7">
                  <c:v>6.1977068484660672E-3</c:v>
                </c:pt>
                <c:pt idx="8">
                  <c:v>1.8593120545398203E-2</c:v>
                </c:pt>
                <c:pt idx="9">
                  <c:v>8.9866749302757974E-3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4A-4DAA-8258-55C1A7C8B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062655"/>
        <c:axId val="1704356224"/>
      </c:scatterChart>
      <c:valAx>
        <c:axId val="106206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356224"/>
        <c:crosses val="autoZero"/>
        <c:crossBetween val="midCat"/>
      </c:valAx>
      <c:valAx>
        <c:axId val="170435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62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Конкурентный анализ рынка по ценовым предпочтениям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Лист1!$B$85</c:f>
              <c:strCache>
                <c:ptCount val="1"/>
                <c:pt idx="0">
                  <c:v>Средняя цена, руб.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Лист1!$A$86:$A$88</c:f>
              <c:strCache>
                <c:ptCount val="3"/>
                <c:pt idx="0">
                  <c:v>Премиальный</c:v>
                </c:pt>
                <c:pt idx="1">
                  <c:v>Средний</c:v>
                </c:pt>
                <c:pt idx="2">
                  <c:v>Бюджетный</c:v>
                </c:pt>
              </c:strCache>
            </c:strRef>
          </c:cat>
          <c:val>
            <c:numRef>
              <c:f>Лист1!$B$86:$B$88</c:f>
              <c:numCache>
                <c:formatCode>General</c:formatCode>
                <c:ptCount val="3"/>
                <c:pt idx="0">
                  <c:v>55000</c:v>
                </c:pt>
                <c:pt idx="1">
                  <c:v>30000</c:v>
                </c:pt>
                <c:pt idx="2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2-46CA-B2CA-577C4D041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9287376"/>
        <c:axId val="1759295536"/>
      </c:barChart>
      <c:lineChart>
        <c:grouping val="standard"/>
        <c:varyColors val="0"/>
        <c:ser>
          <c:idx val="1"/>
          <c:order val="1"/>
          <c:tx>
            <c:strRef>
              <c:f>Лист1!$C$85</c:f>
              <c:strCache>
                <c:ptCount val="1"/>
                <c:pt idx="0">
                  <c:v>Доля рынка,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Лист1!$A$86:$A$88</c:f>
              <c:strCache>
                <c:ptCount val="3"/>
                <c:pt idx="0">
                  <c:v>Премиальный</c:v>
                </c:pt>
                <c:pt idx="1">
                  <c:v>Средний</c:v>
                </c:pt>
                <c:pt idx="2">
                  <c:v>Бюджетный</c:v>
                </c:pt>
              </c:strCache>
            </c:strRef>
          </c:cat>
          <c:val>
            <c:numRef>
              <c:f>Лист1!$C$86:$C$88</c:f>
              <c:numCache>
                <c:formatCode>0%</c:formatCode>
                <c:ptCount val="3"/>
                <c:pt idx="0">
                  <c:v>0.79113727920669352</c:v>
                </c:pt>
                <c:pt idx="1">
                  <c:v>0.13944840409048653</c:v>
                </c:pt>
                <c:pt idx="2">
                  <c:v>6.9414316702819959E-2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32-46CA-B2CA-577C4D041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9286416"/>
        <c:axId val="1759288336"/>
      </c:lineChart>
      <c:catAx>
        <c:axId val="175928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295536"/>
        <c:crosses val="autoZero"/>
        <c:auto val="1"/>
        <c:lblAlgn val="ctr"/>
        <c:lblOffset val="100"/>
        <c:noMultiLvlLbl val="0"/>
      </c:catAx>
      <c:valAx>
        <c:axId val="175929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287376"/>
        <c:crosses val="autoZero"/>
        <c:crossBetween val="between"/>
      </c:valAx>
      <c:valAx>
        <c:axId val="175928833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286416"/>
        <c:crosses val="max"/>
        <c:crossBetween val="between"/>
      </c:valAx>
      <c:catAx>
        <c:axId val="1759286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59288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ru-RU"/>
              <a:t>Гистограмма распределения цен на продукт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D85C1A21-CA80-47D2-85BA-85C6EA6F1239}">
          <cx:spPr>
            <a:solidFill>
              <a:srgbClr val="FFC000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2.xml"/><Relationship Id="rId7" Type="http://schemas.openxmlformats.org/officeDocument/2006/relationships/chart" Target="../charts/chart5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212594</xdr:colOff>
      <xdr:row>0</xdr:row>
      <xdr:rowOff>168518</xdr:rowOff>
    </xdr:from>
    <xdr:to>
      <xdr:col>13</xdr:col>
      <xdr:colOff>534866</xdr:colOff>
      <xdr:row>11</xdr:row>
      <xdr:rowOff>37978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BDDC010-DA93-4E02-AE45-5EF2D08CAC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4130" t="5561" r="40476" b="59448"/>
        <a:stretch/>
      </xdr:blipFill>
      <xdr:spPr>
        <a:xfrm>
          <a:off x="15147794" y="168518"/>
          <a:ext cx="1541472" cy="1933982"/>
        </a:xfrm>
        <a:prstGeom prst="rect">
          <a:avLst/>
        </a:prstGeom>
      </xdr:spPr>
    </xdr:pic>
    <xdr:clientData/>
  </xdr:twoCellAnchor>
  <xdr:twoCellAnchor>
    <xdr:from>
      <xdr:col>11</xdr:col>
      <xdr:colOff>190500</xdr:colOff>
      <xdr:row>2</xdr:row>
      <xdr:rowOff>146538</xdr:rowOff>
    </xdr:from>
    <xdr:to>
      <xdr:col>12</xdr:col>
      <xdr:colOff>293077</xdr:colOff>
      <xdr:row>4</xdr:row>
      <xdr:rowOff>153865</xdr:rowOff>
    </xdr:to>
    <xdr:sp macro="" textlink="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91EDCE16-5F07-4E5E-A786-BC0177992404}"/>
            </a:ext>
          </a:extLst>
        </xdr:cNvPr>
        <xdr:cNvSpPr/>
      </xdr:nvSpPr>
      <xdr:spPr>
        <a:xfrm>
          <a:off x="13957788" y="527538"/>
          <a:ext cx="710712" cy="388327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1672551</xdr:colOff>
      <xdr:row>33</xdr:row>
      <xdr:rowOff>66964</xdr:rowOff>
    </xdr:from>
    <xdr:to>
      <xdr:col>8</xdr:col>
      <xdr:colOff>585740</xdr:colOff>
      <xdr:row>47</xdr:row>
      <xdr:rowOff>110837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9209F5-92A6-8BE1-F49E-0E42A50CC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11288</xdr:colOff>
      <xdr:row>48</xdr:row>
      <xdr:rowOff>857</xdr:rowOff>
    </xdr:from>
    <xdr:to>
      <xdr:col>9</xdr:col>
      <xdr:colOff>6092</xdr:colOff>
      <xdr:row>62</xdr:row>
      <xdr:rowOff>160531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AA8EBB-7BBE-58E2-1242-61A8CB4C1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408</xdr:colOff>
      <xdr:row>33</xdr:row>
      <xdr:rowOff>66826</xdr:rowOff>
    </xdr:from>
    <xdr:to>
      <xdr:col>16</xdr:col>
      <xdr:colOff>297874</xdr:colOff>
      <xdr:row>48</xdr:row>
      <xdr:rowOff>112466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2CD6A7-6A44-8240-627C-B1E12368F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603487</xdr:colOff>
      <xdr:row>49</xdr:row>
      <xdr:rowOff>18745</xdr:rowOff>
    </xdr:from>
    <xdr:to>
      <xdr:col>16</xdr:col>
      <xdr:colOff>295427</xdr:colOff>
      <xdr:row>64</xdr:row>
      <xdr:rowOff>73348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D5A2125A-7AFA-90C2-FF17-E58895D022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42547" y="9939985"/>
              <a:ext cx="5231680" cy="27978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524435</xdr:colOff>
      <xdr:row>11</xdr:row>
      <xdr:rowOff>143435</xdr:rowOff>
    </xdr:from>
    <xdr:to>
      <xdr:col>18</xdr:col>
      <xdr:colOff>219635</xdr:colOff>
      <xdr:row>21</xdr:row>
      <xdr:rowOff>143435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95FF4F2-6B74-8E9C-2B49-7F6DEAB4D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1066798</xdr:colOff>
      <xdr:row>66</xdr:row>
      <xdr:rowOff>141512</xdr:rowOff>
    </xdr:from>
    <xdr:to>
      <xdr:col>6</xdr:col>
      <xdr:colOff>1110342</xdr:colOff>
      <xdr:row>85</xdr:row>
      <xdr:rowOff>185056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EA4A237-DAEE-BE02-3C9D-6156C0EF4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1241611</xdr:colOff>
      <xdr:row>89</xdr:row>
      <xdr:rowOff>116541</xdr:rowOff>
    </xdr:from>
    <xdr:to>
      <xdr:col>2</xdr:col>
      <xdr:colOff>1936376</xdr:colOff>
      <xdr:row>107</xdr:row>
      <xdr:rowOff>53788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731B8E3-AA49-08A0-EC88-94E8D937B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CAC3-B919-499A-9216-7348732E3EFA}">
  <dimension ref="A1:S88"/>
  <sheetViews>
    <sheetView tabSelected="1" zoomScale="60" zoomScaleNormal="60" workbookViewId="0">
      <selection activeCell="C63" sqref="C63"/>
    </sheetView>
  </sheetViews>
  <sheetFormatPr defaultRowHeight="14.4" x14ac:dyDescent="0.3"/>
  <cols>
    <col min="1" max="1" width="34.77734375" customWidth="1"/>
    <col min="2" max="2" width="27.88671875" bestFit="1" customWidth="1"/>
    <col min="3" max="3" width="31.33203125" bestFit="1" customWidth="1"/>
    <col min="4" max="4" width="31.44140625" bestFit="1" customWidth="1"/>
    <col min="5" max="5" width="24.6640625" bestFit="1" customWidth="1"/>
    <col min="6" max="6" width="22.44140625" bestFit="1" customWidth="1"/>
    <col min="7" max="7" width="26.44140625" bestFit="1" customWidth="1"/>
    <col min="8" max="8" width="24.6640625" customWidth="1"/>
    <col min="9" max="9" width="15.5546875" customWidth="1"/>
    <col min="10" max="10" width="11.88671875" bestFit="1" customWidth="1"/>
  </cols>
  <sheetData>
    <row r="1" spans="1:11" x14ac:dyDescent="0.3">
      <c r="A1" s="13" t="s">
        <v>1</v>
      </c>
      <c r="B1" s="6" t="s">
        <v>0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7</v>
      </c>
      <c r="H1" s="4" t="s">
        <v>8</v>
      </c>
    </row>
    <row r="2" spans="1:11" x14ac:dyDescent="0.3">
      <c r="A2" s="2">
        <v>2017</v>
      </c>
      <c r="B2" s="2">
        <v>620000</v>
      </c>
      <c r="C2" s="7">
        <v>100</v>
      </c>
      <c r="D2" s="2" t="s">
        <v>4</v>
      </c>
      <c r="E2" s="2">
        <f>B2-$B$2</f>
        <v>0</v>
      </c>
      <c r="F2" s="2" t="s">
        <v>4</v>
      </c>
      <c r="G2" s="59">
        <f>AVERAGE(D3:D9)</f>
        <v>-4.9534699864372902</v>
      </c>
      <c r="H2" s="62">
        <f>AVERAGE(F3:F9)</f>
        <v>-51428.571428571428</v>
      </c>
    </row>
    <row r="3" spans="1:11" x14ac:dyDescent="0.3">
      <c r="A3" s="2">
        <v>2018</v>
      </c>
      <c r="B3" s="2">
        <v>580000</v>
      </c>
      <c r="C3" s="8">
        <f xml:space="preserve"> B3 / $B$2 * 100</f>
        <v>93.548387096774192</v>
      </c>
      <c r="D3" s="8">
        <f xml:space="preserve"> (B3 - B2) / B2 * 100</f>
        <v>-6.4516129032258061</v>
      </c>
      <c r="E3" s="2">
        <f t="shared" ref="E3:E9" si="0">B3-$B$2</f>
        <v>-40000</v>
      </c>
      <c r="F3" s="1">
        <f>B3-B2</f>
        <v>-40000</v>
      </c>
      <c r="G3" s="60"/>
      <c r="H3" s="63"/>
      <c r="J3" s="48" t="s">
        <v>15</v>
      </c>
      <c r="K3" s="48"/>
    </row>
    <row r="4" spans="1:11" x14ac:dyDescent="0.3">
      <c r="A4" s="2">
        <v>2019</v>
      </c>
      <c r="B4" s="2">
        <v>510000</v>
      </c>
      <c r="C4" s="8">
        <f t="shared" ref="C4:C9" si="1" xml:space="preserve"> B4 / $B$2 * 100</f>
        <v>82.258064516129039</v>
      </c>
      <c r="D4" s="8">
        <f t="shared" ref="D4:D9" si="2" xml:space="preserve"> (B4 - B3) / B3 * 100</f>
        <v>-12.068965517241379</v>
      </c>
      <c r="E4" s="2">
        <f t="shared" si="0"/>
        <v>-110000</v>
      </c>
      <c r="F4" s="1">
        <f t="shared" ref="F4:F9" si="3">B4-B3</f>
        <v>-70000</v>
      </c>
      <c r="G4" s="60"/>
      <c r="H4" s="63"/>
      <c r="J4" s="48"/>
      <c r="K4" s="48"/>
    </row>
    <row r="5" spans="1:11" x14ac:dyDescent="0.3">
      <c r="A5" s="2">
        <v>2020</v>
      </c>
      <c r="B5" s="2">
        <v>320000</v>
      </c>
      <c r="C5" s="8">
        <f t="shared" si="1"/>
        <v>51.612903225806448</v>
      </c>
      <c r="D5" s="8">
        <f t="shared" si="2"/>
        <v>-37.254901960784316</v>
      </c>
      <c r="E5" s="2">
        <f t="shared" si="0"/>
        <v>-300000</v>
      </c>
      <c r="F5" s="1">
        <f t="shared" si="3"/>
        <v>-190000</v>
      </c>
      <c r="G5" s="60"/>
      <c r="H5" s="63"/>
      <c r="J5" s="48"/>
      <c r="K5" s="48"/>
    </row>
    <row r="6" spans="1:11" x14ac:dyDescent="0.3">
      <c r="A6" s="2">
        <v>2021</v>
      </c>
      <c r="B6" s="2">
        <v>450000</v>
      </c>
      <c r="C6" s="8">
        <f t="shared" si="1"/>
        <v>72.58064516129032</v>
      </c>
      <c r="D6" s="8">
        <f t="shared" si="2"/>
        <v>40.625</v>
      </c>
      <c r="E6" s="2">
        <f t="shared" si="0"/>
        <v>-170000</v>
      </c>
      <c r="F6" s="1">
        <f t="shared" si="3"/>
        <v>130000</v>
      </c>
      <c r="G6" s="60"/>
      <c r="H6" s="63"/>
      <c r="J6" s="48"/>
      <c r="K6" s="48"/>
    </row>
    <row r="7" spans="1:11" x14ac:dyDescent="0.3">
      <c r="A7" s="2">
        <v>2022</v>
      </c>
      <c r="B7" s="2">
        <v>180000</v>
      </c>
      <c r="C7" s="8">
        <f t="shared" si="1"/>
        <v>29.032258064516132</v>
      </c>
      <c r="D7" s="8">
        <f t="shared" si="2"/>
        <v>-60</v>
      </c>
      <c r="E7" s="2">
        <f t="shared" si="0"/>
        <v>-440000</v>
      </c>
      <c r="F7" s="1">
        <f t="shared" si="3"/>
        <v>-270000</v>
      </c>
      <c r="G7" s="60"/>
      <c r="H7" s="63"/>
    </row>
    <row r="8" spans="1:11" x14ac:dyDescent="0.3">
      <c r="A8" s="2">
        <v>2023</v>
      </c>
      <c r="B8" s="2">
        <v>210000</v>
      </c>
      <c r="C8" s="8">
        <f t="shared" si="1"/>
        <v>33.87096774193548</v>
      </c>
      <c r="D8" s="8">
        <f t="shared" si="2"/>
        <v>16.666666666666664</v>
      </c>
      <c r="E8" s="2">
        <f t="shared" si="0"/>
        <v>-410000</v>
      </c>
      <c r="F8" s="1">
        <f t="shared" si="3"/>
        <v>30000</v>
      </c>
      <c r="G8" s="60"/>
      <c r="H8" s="63"/>
    </row>
    <row r="9" spans="1:11" ht="15" thickBot="1" x14ac:dyDescent="0.35">
      <c r="A9" s="2">
        <v>2024</v>
      </c>
      <c r="B9" s="2">
        <v>260000</v>
      </c>
      <c r="C9" s="8">
        <f t="shared" si="1"/>
        <v>41.935483870967744</v>
      </c>
      <c r="D9" s="8">
        <f t="shared" si="2"/>
        <v>23.809523809523807</v>
      </c>
      <c r="E9" s="2">
        <f t="shared" si="0"/>
        <v>-360000</v>
      </c>
      <c r="F9" s="1">
        <f t="shared" si="3"/>
        <v>50000</v>
      </c>
      <c r="G9" s="61"/>
      <c r="H9" s="64"/>
    </row>
    <row r="11" spans="1:11" ht="15" thickBot="1" x14ac:dyDescent="0.35"/>
    <row r="12" spans="1:11" ht="43.8" thickBot="1" x14ac:dyDescent="0.35">
      <c r="A12" s="27" t="s">
        <v>12</v>
      </c>
      <c r="B12" s="28" t="s">
        <v>9</v>
      </c>
      <c r="C12" s="28" t="s">
        <v>10</v>
      </c>
      <c r="D12" s="29" t="s">
        <v>11</v>
      </c>
      <c r="E12" s="30" t="s">
        <v>50</v>
      </c>
      <c r="G12" s="25" t="s">
        <v>52</v>
      </c>
      <c r="H12" s="25" t="s">
        <v>53</v>
      </c>
      <c r="I12" s="25" t="s">
        <v>60</v>
      </c>
      <c r="J12" s="25" t="s">
        <v>61</v>
      </c>
    </row>
    <row r="13" spans="1:11" ht="29.4" customHeight="1" x14ac:dyDescent="0.3">
      <c r="A13" s="31" t="s">
        <v>41</v>
      </c>
      <c r="B13" s="32">
        <v>22680000000</v>
      </c>
      <c r="C13" s="65">
        <f>_xlfn.MODE.SNGL(B13:B22)</f>
        <v>200000000</v>
      </c>
      <c r="D13" s="67">
        <f>MEDIAN(B13:B22)</f>
        <v>625000000</v>
      </c>
      <c r="E13" s="33">
        <f t="shared" ref="E13:E22" si="4">B13/$E$24</f>
        <v>0.70281995661605201</v>
      </c>
      <c r="F13" s="22"/>
      <c r="G13" s="14" t="s">
        <v>54</v>
      </c>
      <c r="H13" s="14" t="s">
        <v>55</v>
      </c>
      <c r="I13" s="23">
        <f>SUM(B13,B15)</f>
        <v>25530000000</v>
      </c>
      <c r="J13" s="26">
        <f>I13/$E$24</f>
        <v>0.79113727920669352</v>
      </c>
    </row>
    <row r="14" spans="1:11" ht="28.8" x14ac:dyDescent="0.3">
      <c r="A14" s="34" t="s">
        <v>42</v>
      </c>
      <c r="B14" s="35">
        <v>2820000000</v>
      </c>
      <c r="C14" s="65"/>
      <c r="D14" s="68"/>
      <c r="E14" s="33">
        <f t="shared" si="4"/>
        <v>8.7387666563371547E-2</v>
      </c>
      <c r="G14" s="14" t="s">
        <v>56</v>
      </c>
      <c r="H14" s="14" t="s">
        <v>58</v>
      </c>
      <c r="I14" s="24">
        <f>SUM(B14,B16)</f>
        <v>4500000000</v>
      </c>
      <c r="J14" s="26">
        <f t="shared" ref="J14:J15" si="5">I14/$E$24</f>
        <v>0.13944840409048653</v>
      </c>
    </row>
    <row r="15" spans="1:11" ht="28.8" x14ac:dyDescent="0.3">
      <c r="A15" s="34" t="s">
        <v>43</v>
      </c>
      <c r="B15" s="35">
        <v>2850000000</v>
      </c>
      <c r="C15" s="65"/>
      <c r="D15" s="68"/>
      <c r="E15" s="33">
        <f t="shared" si="4"/>
        <v>8.8317322590641456E-2</v>
      </c>
      <c r="G15" s="14" t="s">
        <v>57</v>
      </c>
      <c r="H15" s="14" t="s">
        <v>59</v>
      </c>
      <c r="I15" s="24">
        <f>SUM(B17:B22)</f>
        <v>2240000000</v>
      </c>
      <c r="J15" s="26">
        <f t="shared" si="5"/>
        <v>6.9414316702819959E-2</v>
      </c>
    </row>
    <row r="16" spans="1:11" x14ac:dyDescent="0.3">
      <c r="A16" s="34" t="s">
        <v>44</v>
      </c>
      <c r="B16" s="35">
        <v>1680000000</v>
      </c>
      <c r="C16" s="65"/>
      <c r="D16" s="68"/>
      <c r="E16" s="33">
        <f t="shared" si="4"/>
        <v>5.2060737527114966E-2</v>
      </c>
      <c r="G16" s="9"/>
      <c r="H16" s="9"/>
    </row>
    <row r="17" spans="1:19" x14ac:dyDescent="0.3">
      <c r="A17" s="34" t="s">
        <v>45</v>
      </c>
      <c r="B17" s="35">
        <v>650000000</v>
      </c>
      <c r="C17" s="65"/>
      <c r="D17" s="68"/>
      <c r="E17" s="33">
        <f t="shared" si="4"/>
        <v>2.0142547257514718E-2</v>
      </c>
    </row>
    <row r="18" spans="1:19" x14ac:dyDescent="0.3">
      <c r="A18" s="34" t="s">
        <v>46</v>
      </c>
      <c r="B18" s="36">
        <v>200000000</v>
      </c>
      <c r="C18" s="65"/>
      <c r="D18" s="68"/>
      <c r="E18" s="33">
        <f t="shared" si="4"/>
        <v>6.1977068484660672E-3</v>
      </c>
    </row>
    <row r="19" spans="1:19" x14ac:dyDescent="0.3">
      <c r="A19" s="34" t="s">
        <v>47</v>
      </c>
      <c r="B19" s="36">
        <v>300000000</v>
      </c>
      <c r="C19" s="65"/>
      <c r="D19" s="68"/>
      <c r="E19" s="33">
        <f t="shared" si="4"/>
        <v>9.2965602726991017E-3</v>
      </c>
    </row>
    <row r="20" spans="1:19" x14ac:dyDescent="0.3">
      <c r="A20" s="34" t="s">
        <v>48</v>
      </c>
      <c r="B20" s="36">
        <v>200000000</v>
      </c>
      <c r="C20" s="65"/>
      <c r="D20" s="68"/>
      <c r="E20" s="33">
        <f t="shared" si="4"/>
        <v>6.1977068484660672E-3</v>
      </c>
    </row>
    <row r="21" spans="1:19" x14ac:dyDescent="0.3">
      <c r="A21" s="34" t="s">
        <v>49</v>
      </c>
      <c r="B21" s="36">
        <v>600000000</v>
      </c>
      <c r="C21" s="65"/>
      <c r="D21" s="68"/>
      <c r="E21" s="33">
        <f t="shared" si="4"/>
        <v>1.8593120545398203E-2</v>
      </c>
    </row>
    <row r="22" spans="1:19" ht="15" thickBot="1" x14ac:dyDescent="0.35">
      <c r="A22" s="37" t="s">
        <v>40</v>
      </c>
      <c r="B22" s="38">
        <v>290000000</v>
      </c>
      <c r="C22" s="66"/>
      <c r="D22" s="69"/>
      <c r="E22" s="39">
        <f t="shared" si="4"/>
        <v>8.9866749302757974E-3</v>
      </c>
    </row>
    <row r="23" spans="1:19" ht="15" thickBot="1" x14ac:dyDescent="0.35">
      <c r="A23" s="20"/>
      <c r="B23" s="20" t="s">
        <v>13</v>
      </c>
      <c r="C23" s="20" t="s">
        <v>14</v>
      </c>
    </row>
    <row r="24" spans="1:19" ht="14.4" customHeight="1" x14ac:dyDescent="0.3">
      <c r="A24" s="2">
        <v>2017</v>
      </c>
      <c r="B24" s="2">
        <v>29999</v>
      </c>
      <c r="C24" s="2" t="s">
        <v>19</v>
      </c>
      <c r="D24" s="21" t="s">
        <v>51</v>
      </c>
      <c r="E24" s="47">
        <f>SUM(B13:B22)</f>
        <v>32270000000</v>
      </c>
      <c r="F24" s="49" t="s">
        <v>73</v>
      </c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1"/>
    </row>
    <row r="25" spans="1:19" ht="14.4" customHeight="1" x14ac:dyDescent="0.3">
      <c r="A25" s="2">
        <v>2018</v>
      </c>
      <c r="B25" s="2">
        <v>32999</v>
      </c>
      <c r="C25" s="2" t="s">
        <v>20</v>
      </c>
      <c r="F25" s="52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4"/>
    </row>
    <row r="26" spans="1:19" ht="14.4" customHeight="1" x14ac:dyDescent="0.3">
      <c r="A26" s="2">
        <v>2019</v>
      </c>
      <c r="B26" s="2">
        <v>39999</v>
      </c>
      <c r="C26" s="2" t="s">
        <v>21</v>
      </c>
      <c r="F26" s="52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4"/>
    </row>
    <row r="27" spans="1:19" ht="14.4" customHeight="1" x14ac:dyDescent="0.3">
      <c r="A27" s="2">
        <v>2020</v>
      </c>
      <c r="B27" s="2">
        <v>54999</v>
      </c>
      <c r="C27" s="2" t="s">
        <v>22</v>
      </c>
      <c r="F27" s="52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4"/>
    </row>
    <row r="28" spans="1:19" ht="14.4" customHeight="1" x14ac:dyDescent="0.3">
      <c r="A28" s="2">
        <v>2021</v>
      </c>
      <c r="B28" s="2">
        <v>54999</v>
      </c>
      <c r="C28" s="2" t="s">
        <v>23</v>
      </c>
      <c r="F28" s="52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4"/>
    </row>
    <row r="29" spans="1:19" ht="14.4" customHeight="1" x14ac:dyDescent="0.3">
      <c r="A29" s="2">
        <v>2022</v>
      </c>
      <c r="B29" s="2">
        <v>56999</v>
      </c>
      <c r="C29" s="2" t="s">
        <v>24</v>
      </c>
      <c r="F29" s="52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4"/>
    </row>
    <row r="30" spans="1:19" ht="14.4" customHeight="1" x14ac:dyDescent="0.3">
      <c r="A30" s="2">
        <v>2023</v>
      </c>
      <c r="B30" s="2">
        <v>64999</v>
      </c>
      <c r="C30" s="2" t="s">
        <v>25</v>
      </c>
      <c r="F30" s="52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4"/>
    </row>
    <row r="31" spans="1:19" ht="14.4" customHeight="1" x14ac:dyDescent="0.3">
      <c r="A31" s="2">
        <v>2024</v>
      </c>
      <c r="B31" s="2">
        <v>69999</v>
      </c>
      <c r="C31" s="2" t="s">
        <v>26</v>
      </c>
      <c r="F31" s="52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4"/>
    </row>
    <row r="32" spans="1:19" ht="14.4" customHeight="1" x14ac:dyDescent="0.3">
      <c r="F32" s="52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4"/>
    </row>
    <row r="33" spans="1:19" ht="14.4" customHeight="1" thickBot="1" x14ac:dyDescent="0.35">
      <c r="F33" s="55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7"/>
    </row>
    <row r="34" spans="1:19" x14ac:dyDescent="0.3">
      <c r="A34" s="58" t="s">
        <v>16</v>
      </c>
      <c r="B34" s="58"/>
      <c r="C34" s="58"/>
      <c r="D34" s="58"/>
    </row>
    <row r="35" spans="1:19" x14ac:dyDescent="0.3">
      <c r="A35" s="45" t="s">
        <v>18</v>
      </c>
      <c r="B35" s="45" t="s">
        <v>63</v>
      </c>
      <c r="C35" s="45" t="s">
        <v>17</v>
      </c>
      <c r="D35" s="45" t="s">
        <v>64</v>
      </c>
    </row>
    <row r="36" spans="1:19" x14ac:dyDescent="0.3">
      <c r="A36" s="14">
        <v>2017</v>
      </c>
      <c r="B36" s="14">
        <v>45000</v>
      </c>
      <c r="C36" s="44">
        <v>0.12</v>
      </c>
      <c r="D36" s="14" t="s">
        <v>65</v>
      </c>
    </row>
    <row r="37" spans="1:19" x14ac:dyDescent="0.3">
      <c r="A37" s="14">
        <v>2018</v>
      </c>
      <c r="B37" s="14">
        <v>50000</v>
      </c>
      <c r="C37" s="44">
        <v>0.14000000000000001</v>
      </c>
      <c r="D37" s="14" t="s">
        <v>66</v>
      </c>
    </row>
    <row r="38" spans="1:19" x14ac:dyDescent="0.3">
      <c r="A38" s="14">
        <v>2019</v>
      </c>
      <c r="B38" s="14">
        <v>55000</v>
      </c>
      <c r="C38" s="44">
        <v>0.16</v>
      </c>
      <c r="D38" s="14" t="s">
        <v>67</v>
      </c>
    </row>
    <row r="39" spans="1:19" x14ac:dyDescent="0.3">
      <c r="A39" s="14">
        <v>2020</v>
      </c>
      <c r="B39" s="14">
        <v>60000</v>
      </c>
      <c r="C39" s="44">
        <v>0.18</v>
      </c>
      <c r="D39" s="14" t="s">
        <v>68</v>
      </c>
    </row>
    <row r="40" spans="1:19" x14ac:dyDescent="0.3">
      <c r="A40" s="14">
        <v>2021</v>
      </c>
      <c r="B40" s="14">
        <v>70000</v>
      </c>
      <c r="C40" s="44">
        <v>0.2</v>
      </c>
      <c r="D40" s="14" t="s">
        <v>69</v>
      </c>
    </row>
    <row r="41" spans="1:19" x14ac:dyDescent="0.3">
      <c r="A41" s="14">
        <v>2022</v>
      </c>
      <c r="B41" s="14">
        <v>75000</v>
      </c>
      <c r="C41" s="44">
        <v>0.18</v>
      </c>
      <c r="D41" s="14" t="s">
        <v>70</v>
      </c>
    </row>
    <row r="42" spans="1:19" x14ac:dyDescent="0.3">
      <c r="A42" s="14">
        <v>2023</v>
      </c>
      <c r="B42" s="14">
        <v>85000</v>
      </c>
      <c r="C42" s="44">
        <v>0.2</v>
      </c>
      <c r="D42" s="14" t="s">
        <v>71</v>
      </c>
    </row>
    <row r="43" spans="1:19" x14ac:dyDescent="0.3">
      <c r="A43" s="14">
        <v>2024</v>
      </c>
      <c r="B43" s="14">
        <v>90000</v>
      </c>
      <c r="C43" s="44">
        <v>0.22</v>
      </c>
      <c r="D43" s="14" t="s">
        <v>71</v>
      </c>
    </row>
    <row r="45" spans="1:19" x14ac:dyDescent="0.3">
      <c r="A45" s="12" t="s">
        <v>27</v>
      </c>
      <c r="B45" s="12" t="s">
        <v>28</v>
      </c>
    </row>
    <row r="46" spans="1:19" x14ac:dyDescent="0.3">
      <c r="A46" s="10" t="s">
        <v>29</v>
      </c>
      <c r="B46" s="14">
        <v>39999</v>
      </c>
    </row>
    <row r="47" spans="1:19" x14ac:dyDescent="0.3">
      <c r="A47" s="10" t="s">
        <v>30</v>
      </c>
      <c r="B47" s="14">
        <v>54999</v>
      </c>
    </row>
    <row r="48" spans="1:19" x14ac:dyDescent="0.3">
      <c r="A48" s="10" t="s">
        <v>31</v>
      </c>
      <c r="B48" s="14">
        <v>510000</v>
      </c>
    </row>
    <row r="49" spans="1:2" x14ac:dyDescent="0.3">
      <c r="A49" s="10" t="s">
        <v>32</v>
      </c>
      <c r="B49" s="14">
        <v>320000</v>
      </c>
    </row>
    <row r="50" spans="1:2" x14ac:dyDescent="0.3">
      <c r="A50" s="10" t="s">
        <v>33</v>
      </c>
      <c r="B50" s="16">
        <f>(B49-B48)/B48</f>
        <v>-0.37254901960784315</v>
      </c>
    </row>
    <row r="51" spans="1:2" x14ac:dyDescent="0.3">
      <c r="A51" s="10" t="s">
        <v>34</v>
      </c>
      <c r="B51" s="16">
        <f>(B47-B46)/B46</f>
        <v>0.37500937523438088</v>
      </c>
    </row>
    <row r="52" spans="1:2" x14ac:dyDescent="0.3">
      <c r="A52" s="11" t="s">
        <v>35</v>
      </c>
      <c r="B52" s="17">
        <f>B50/B51</f>
        <v>-0.99343921568627447</v>
      </c>
    </row>
    <row r="53" spans="1:2" x14ac:dyDescent="0.3">
      <c r="A53" s="15"/>
      <c r="B53" s="15"/>
    </row>
    <row r="55" spans="1:2" x14ac:dyDescent="0.3">
      <c r="A55" s="5" t="s">
        <v>1</v>
      </c>
      <c r="B55" s="5" t="s">
        <v>13</v>
      </c>
    </row>
    <row r="56" spans="1:2" x14ac:dyDescent="0.3">
      <c r="A56" s="2">
        <v>2017</v>
      </c>
      <c r="B56" s="2">
        <v>29999</v>
      </c>
    </row>
    <row r="57" spans="1:2" x14ac:dyDescent="0.3">
      <c r="A57" s="2">
        <v>2018</v>
      </c>
      <c r="B57" s="2">
        <v>32999</v>
      </c>
    </row>
    <row r="58" spans="1:2" x14ac:dyDescent="0.3">
      <c r="A58" s="2">
        <v>2019</v>
      </c>
      <c r="B58" s="2">
        <v>39999</v>
      </c>
    </row>
    <row r="59" spans="1:2" x14ac:dyDescent="0.3">
      <c r="A59" s="2">
        <v>2020</v>
      </c>
      <c r="B59" s="2">
        <v>54999</v>
      </c>
    </row>
    <row r="60" spans="1:2" x14ac:dyDescent="0.3">
      <c r="A60" s="2">
        <v>2021</v>
      </c>
      <c r="B60" s="2">
        <v>54999</v>
      </c>
    </row>
    <row r="61" spans="1:2" x14ac:dyDescent="0.3">
      <c r="A61" s="2">
        <v>2022</v>
      </c>
      <c r="B61" s="2">
        <v>56999</v>
      </c>
    </row>
    <row r="62" spans="1:2" x14ac:dyDescent="0.3">
      <c r="A62" s="2">
        <v>2023</v>
      </c>
      <c r="B62" s="2">
        <v>64999</v>
      </c>
    </row>
    <row r="63" spans="1:2" x14ac:dyDescent="0.3">
      <c r="A63" s="2">
        <v>2024</v>
      </c>
      <c r="B63" s="2">
        <v>69999</v>
      </c>
    </row>
    <row r="65" spans="1:3" x14ac:dyDescent="0.3">
      <c r="A65" s="18" t="s">
        <v>36</v>
      </c>
      <c r="B65" s="2">
        <f>AVERAGE(B56:B63)</f>
        <v>50624</v>
      </c>
    </row>
    <row r="66" spans="1:3" x14ac:dyDescent="0.3">
      <c r="A66" s="18" t="s">
        <v>37</v>
      </c>
      <c r="B66" s="2">
        <f>MEDIAN(B56:B63)</f>
        <v>54999</v>
      </c>
    </row>
    <row r="67" spans="1:3" x14ac:dyDescent="0.3">
      <c r="A67" s="18" t="s">
        <v>38</v>
      </c>
      <c r="B67" s="2">
        <f>_xlfn.MODE.SNGL((B56:B63))</f>
        <v>54999</v>
      </c>
    </row>
    <row r="68" spans="1:3" x14ac:dyDescent="0.3">
      <c r="A68" s="19" t="s">
        <v>39</v>
      </c>
      <c r="B68" s="2">
        <f>_xlfn.STDEV.S(B56:B63)</f>
        <v>14686.607115716977</v>
      </c>
    </row>
    <row r="69" spans="1:3" x14ac:dyDescent="0.3">
      <c r="A69" s="9"/>
    </row>
    <row r="72" spans="1:3" x14ac:dyDescent="0.3">
      <c r="A72" s="40" t="s">
        <v>12</v>
      </c>
      <c r="B72" s="41" t="s">
        <v>62</v>
      </c>
      <c r="C72" s="41" t="s">
        <v>50</v>
      </c>
    </row>
    <row r="73" spans="1:3" x14ac:dyDescent="0.3">
      <c r="A73" s="14" t="s">
        <v>41</v>
      </c>
      <c r="B73" s="42">
        <v>59000</v>
      </c>
      <c r="C73" s="43">
        <f>B13/$E$24</f>
        <v>0.70281995661605201</v>
      </c>
    </row>
    <row r="74" spans="1:3" x14ac:dyDescent="0.3">
      <c r="A74" s="14" t="s">
        <v>42</v>
      </c>
      <c r="B74" s="42">
        <v>45000</v>
      </c>
      <c r="C74" s="43">
        <f t="shared" ref="C74:C82" si="6">B14/$E$24</f>
        <v>8.7387666563371547E-2</v>
      </c>
    </row>
    <row r="75" spans="1:3" x14ac:dyDescent="0.3">
      <c r="A75" s="14" t="s">
        <v>43</v>
      </c>
      <c r="B75" s="42">
        <v>49000</v>
      </c>
      <c r="C75" s="43">
        <f t="shared" si="6"/>
        <v>8.8317322590641456E-2</v>
      </c>
    </row>
    <row r="76" spans="1:3" x14ac:dyDescent="0.3">
      <c r="A76" s="14" t="s">
        <v>44</v>
      </c>
      <c r="B76" s="42">
        <v>29000</v>
      </c>
      <c r="C76" s="43">
        <f t="shared" si="6"/>
        <v>5.2060737527114966E-2</v>
      </c>
    </row>
    <row r="77" spans="1:3" x14ac:dyDescent="0.3">
      <c r="A77" s="14" t="s">
        <v>45</v>
      </c>
      <c r="B77" s="42">
        <v>20000</v>
      </c>
      <c r="C77" s="43">
        <f t="shared" si="6"/>
        <v>2.0142547257514718E-2</v>
      </c>
    </row>
    <row r="78" spans="1:3" x14ac:dyDescent="0.3">
      <c r="A78" s="14" t="s">
        <v>46</v>
      </c>
      <c r="B78" s="42">
        <v>18000</v>
      </c>
      <c r="C78" s="43">
        <f t="shared" si="6"/>
        <v>6.1977068484660672E-3</v>
      </c>
    </row>
    <row r="79" spans="1:3" x14ac:dyDescent="0.3">
      <c r="A79" s="14" t="s">
        <v>47</v>
      </c>
      <c r="B79" s="42">
        <v>3000</v>
      </c>
      <c r="C79" s="43">
        <f t="shared" si="6"/>
        <v>9.2965602726991017E-3</v>
      </c>
    </row>
    <row r="80" spans="1:3" x14ac:dyDescent="0.3">
      <c r="A80" s="14" t="s">
        <v>48</v>
      </c>
      <c r="B80" s="42">
        <v>5000</v>
      </c>
      <c r="C80" s="43">
        <f t="shared" si="6"/>
        <v>6.1977068484660672E-3</v>
      </c>
    </row>
    <row r="81" spans="1:3" x14ac:dyDescent="0.3">
      <c r="A81" s="14" t="s">
        <v>49</v>
      </c>
      <c r="B81" s="42">
        <v>15000</v>
      </c>
      <c r="C81" s="43">
        <f t="shared" si="6"/>
        <v>1.8593120545398203E-2</v>
      </c>
    </row>
    <row r="82" spans="1:3" x14ac:dyDescent="0.3">
      <c r="A82" s="14" t="s">
        <v>40</v>
      </c>
      <c r="B82" s="42">
        <v>10000</v>
      </c>
      <c r="C82" s="43">
        <f t="shared" si="6"/>
        <v>8.9866749302757974E-3</v>
      </c>
    </row>
    <row r="85" spans="1:3" x14ac:dyDescent="0.3">
      <c r="A85" s="46" t="s">
        <v>52</v>
      </c>
      <c r="B85" s="46" t="s">
        <v>62</v>
      </c>
      <c r="C85" s="46" t="s">
        <v>72</v>
      </c>
    </row>
    <row r="86" spans="1:3" x14ac:dyDescent="0.3">
      <c r="A86" s="14" t="s">
        <v>54</v>
      </c>
      <c r="B86" s="14">
        <v>55000</v>
      </c>
      <c r="C86" s="44">
        <f>I13/$E$24</f>
        <v>0.79113727920669352</v>
      </c>
    </row>
    <row r="87" spans="1:3" x14ac:dyDescent="0.3">
      <c r="A87" s="14" t="s">
        <v>56</v>
      </c>
      <c r="B87" s="14">
        <v>30000</v>
      </c>
      <c r="C87" s="44">
        <f t="shared" ref="C87" si="7">I14/$E$24</f>
        <v>0.13944840409048653</v>
      </c>
    </row>
    <row r="88" spans="1:3" x14ac:dyDescent="0.3">
      <c r="A88" s="14" t="s">
        <v>57</v>
      </c>
      <c r="B88" s="14">
        <v>15000</v>
      </c>
      <c r="C88" s="44">
        <f>I15/$E$24</f>
        <v>6.9414316702819959E-2</v>
      </c>
    </row>
  </sheetData>
  <mergeCells count="7">
    <mergeCell ref="J3:K6"/>
    <mergeCell ref="F24:S33"/>
    <mergeCell ref="A34:D34"/>
    <mergeCell ref="G2:G9"/>
    <mergeCell ref="H2:H9"/>
    <mergeCell ref="C13:C22"/>
    <mergeCell ref="D13:D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Nguyễn Cao Bách</cp:lastModifiedBy>
  <dcterms:created xsi:type="dcterms:W3CDTF">2025-11-18T06:45:25Z</dcterms:created>
  <dcterms:modified xsi:type="dcterms:W3CDTF">2025-12-02T06:40:39Z</dcterms:modified>
</cp:coreProperties>
</file>