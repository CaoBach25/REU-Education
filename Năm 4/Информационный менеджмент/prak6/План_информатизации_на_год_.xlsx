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hubchenko\Downloads\"/>
    </mc:Choice>
  </mc:AlternateContent>
  <xr:revisionPtr revIDLastSave="0" documentId="13_ncr:1_{70BD0C68-2AF6-4E28-AA0A-50DEB662C279}" xr6:coauthVersionLast="36" xr6:coauthVersionMax="36" xr10:uidLastSave="{00000000-0000-0000-0000-000000000000}"/>
  <bookViews>
    <workbookView xWindow="0" yWindow="0" windowWidth="23040" windowHeight="9060" xr2:uid="{1B5B89E4-D8D6-4C61-B2A5-FBA059FE2531}"/>
  </bookViews>
  <sheets>
    <sheet name="CRM" sheetId="1" r:id="rId1"/>
    <sheet name="СППР" sheetId="2" r:id="rId2"/>
    <sheet name="QMS" sheetId="3" r:id="rId3"/>
    <sheet name="Мобильное приложение" sheetId="4" r:id="rId4"/>
    <sheet name="PLM" sheetId="5" r:id="rId5"/>
    <sheet name="План информатизации ИТ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2" l="1"/>
  <c r="G14" i="2"/>
  <c r="F11" i="6"/>
  <c r="E11" i="6"/>
  <c r="D11" i="6"/>
  <c r="D15" i="6" s="1"/>
  <c r="C11" i="6"/>
  <c r="C15" i="6" s="1"/>
  <c r="F4" i="6"/>
  <c r="F8" i="6" s="1"/>
  <c r="E4" i="6"/>
  <c r="E8" i="6" s="1"/>
  <c r="D4" i="6"/>
  <c r="C4" i="6"/>
  <c r="C15" i="2"/>
  <c r="D15" i="2"/>
  <c r="E15" i="2"/>
  <c r="F15" i="2"/>
  <c r="G7" i="6"/>
  <c r="G6" i="6"/>
  <c r="G5" i="6"/>
  <c r="G3" i="6"/>
  <c r="D8" i="6"/>
  <c r="F14" i="6"/>
  <c r="E14" i="6"/>
  <c r="E15" i="5"/>
  <c r="G15" i="5"/>
  <c r="G14" i="5"/>
  <c r="F15" i="6"/>
  <c r="G13" i="6"/>
  <c r="G12" i="6"/>
  <c r="G10" i="6"/>
  <c r="D14" i="6"/>
  <c r="C14" i="6"/>
  <c r="F7" i="6"/>
  <c r="E7" i="6"/>
  <c r="D7" i="6"/>
  <c r="C7" i="6"/>
  <c r="F13" i="6"/>
  <c r="E13" i="6"/>
  <c r="D13" i="6"/>
  <c r="C13" i="6"/>
  <c r="F6" i="6"/>
  <c r="E6" i="6"/>
  <c r="D6" i="6"/>
  <c r="C6" i="6"/>
  <c r="F12" i="6"/>
  <c r="E12" i="6"/>
  <c r="D12" i="6"/>
  <c r="C12" i="6"/>
  <c r="F5" i="6"/>
  <c r="E5" i="6"/>
  <c r="D5" i="6"/>
  <c r="C5" i="6"/>
  <c r="F10" i="6"/>
  <c r="E10" i="6"/>
  <c r="D10" i="6"/>
  <c r="C10" i="6"/>
  <c r="F3" i="6"/>
  <c r="E3" i="6"/>
  <c r="D3" i="6"/>
  <c r="C3" i="6"/>
  <c r="G11" i="6" l="1"/>
  <c r="G4" i="6"/>
  <c r="C8" i="6"/>
  <c r="G8" i="6" s="1"/>
  <c r="E15" i="6"/>
  <c r="G15" i="6" s="1"/>
  <c r="G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tc={6A79BFB2-253A-414C-B274-A637EFBFA42D}</author>
  </authors>
  <commentList>
    <comment ref="A1" authorId="0" shapeId="0" xr:uid="{2AAB72EA-6E51-4E9C-9B1E-4C76FB4B4EA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CAPEX</t>
        </r>
      </text>
    </comment>
  </commentList>
</comments>
</file>

<file path=xl/sharedStrings.xml><?xml version="1.0" encoding="utf-8"?>
<sst xmlns="http://schemas.openxmlformats.org/spreadsheetml/2006/main" count="126" uniqueCount="21">
  <si>
    <t>Номер п/п</t>
  </si>
  <si>
    <t>Название статьи затрат</t>
  </si>
  <si>
    <t>1 квартал</t>
  </si>
  <si>
    <t>2 квартал</t>
  </si>
  <si>
    <t>3 квартал</t>
  </si>
  <si>
    <t>4 квартал</t>
  </si>
  <si>
    <t>Год</t>
  </si>
  <si>
    <t>CAPEX</t>
  </si>
  <si>
    <t>Оборудование</t>
  </si>
  <si>
    <t>Программное обеспечение</t>
  </si>
  <si>
    <t>ТМЦ</t>
  </si>
  <si>
    <t>Услуги сторонних организаций</t>
  </si>
  <si>
    <t>Прочее</t>
  </si>
  <si>
    <t>Итого:</t>
  </si>
  <si>
    <t>OPEX</t>
  </si>
  <si>
    <t>Наименование проекта/информационной системы</t>
  </si>
  <si>
    <t>Система управления качеством (QMS)</t>
  </si>
  <si>
    <t>Мобильное приложение</t>
  </si>
  <si>
    <t>Система поддержки принятия управленческих решений (СППР)</t>
  </si>
  <si>
    <t>Система управления жизненным циклом изделия (PLM)</t>
  </si>
  <si>
    <t>Система управления взаимоотношениями с клиентами (CRM)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</si>
</sst>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8" formatCode="#,##0.00\ &quot;₽&quot;"/>
    <numFmt numFmtId="170" formatCode="#,##0.00\ &quot;₽&quot;;[Red]\-#,##0.00\ &quot;₽&quot;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1BBCC"/>
      </right>
      <top/>
      <bottom style="thin">
        <color rgb="FFB1BBCC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168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168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170" fontId="3" fillId="0" borderId="1" xfId="0" applyNumberFormat="1" applyFont="1" applyBorder="1" applyAlignment="1">
      <alignment vertical="center"/>
    </xf>
    <xf numFmtId="170" fontId="0" fillId="0" borderId="3" xfId="0" applyNumberFormat="1" applyBorder="1"/>
    <xf numFmtId="170" fontId="3" fillId="0" borderId="4" xfId="0" applyNumberFormat="1" applyFont="1" applyBorder="1" applyAlignment="1">
      <alignment vertical="center"/>
    </xf>
    <xf numFmtId="168" fontId="0" fillId="0" borderId="1" xfId="0" applyNumberFormat="1" applyFill="1" applyBorder="1"/>
    <xf numFmtId="0" fontId="0" fillId="0" borderId="1" xfId="0" applyBorder="1"/>
    <xf numFmtId="0" fontId="0" fillId="2" borderId="1" xfId="0" applyFill="1" applyBorder="1"/>
    <xf numFmtId="168" fontId="0" fillId="0" borderId="1" xfId="0" applyNumberFormat="1" applyFont="1" applyBorder="1" applyAlignment="1">
      <alignment wrapText="1"/>
    </xf>
    <xf numFmtId="168" fontId="0" fillId="0" borderId="1" xfId="1" applyNumberFormat="1" applyFont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21E2-DA59-40BC-A174-C7C6C3EA7CBC}">
  <dimension ref="A1:G15"/>
  <sheetViews>
    <sheetView tabSelected="1" workbookViewId="0">
      <selection activeCell="C26" sqref="C26"/>
    </sheetView>
  </sheetViews>
  <sheetFormatPr defaultRowHeight="14.4" x14ac:dyDescent="0.3"/>
  <cols>
    <col min="1" max="1" width="11.77734375" customWidth="1"/>
    <col min="2" max="2" width="31.21875" customWidth="1"/>
    <col min="3" max="3" width="23.6640625" customWidth="1"/>
    <col min="4" max="4" width="21.44140625" customWidth="1"/>
    <col min="5" max="5" width="19.77734375" customWidth="1"/>
    <col min="6" max="6" width="21.21875" customWidth="1"/>
    <col min="7" max="7" width="30.664062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 t="s">
        <v>7</v>
      </c>
      <c r="B2" s="1"/>
      <c r="C2" s="1"/>
      <c r="D2" s="1"/>
      <c r="E2" s="1"/>
      <c r="F2" s="1"/>
      <c r="G2" s="1"/>
    </row>
    <row r="3" spans="1:7" x14ac:dyDescent="0.3">
      <c r="A3" s="2">
        <v>1</v>
      </c>
      <c r="B3" s="2" t="s">
        <v>8</v>
      </c>
      <c r="C3" s="4">
        <v>700000</v>
      </c>
      <c r="D3" s="4">
        <v>0</v>
      </c>
      <c r="E3" s="4">
        <v>0</v>
      </c>
      <c r="F3" s="4">
        <v>0</v>
      </c>
      <c r="G3" s="4">
        <v>700000</v>
      </c>
    </row>
    <row r="4" spans="1:7" x14ac:dyDescent="0.3">
      <c r="A4" s="2">
        <v>2</v>
      </c>
      <c r="B4" s="2" t="s">
        <v>9</v>
      </c>
      <c r="C4" s="4">
        <v>1650000</v>
      </c>
      <c r="D4" s="4">
        <v>0</v>
      </c>
      <c r="E4" s="4">
        <v>0</v>
      </c>
      <c r="F4" s="4">
        <v>0</v>
      </c>
      <c r="G4" s="4">
        <v>1650000</v>
      </c>
    </row>
    <row r="5" spans="1:7" x14ac:dyDescent="0.3">
      <c r="A5" s="2">
        <v>3</v>
      </c>
      <c r="B5" s="2" t="s">
        <v>10</v>
      </c>
      <c r="C5" s="4">
        <v>250000</v>
      </c>
      <c r="D5" s="4">
        <v>0</v>
      </c>
      <c r="E5" s="4">
        <v>0</v>
      </c>
      <c r="F5" s="4">
        <v>0</v>
      </c>
      <c r="G5" s="4">
        <v>250000</v>
      </c>
    </row>
    <row r="6" spans="1:7" x14ac:dyDescent="0.3">
      <c r="A6" s="2">
        <v>4</v>
      </c>
      <c r="B6" s="2" t="s">
        <v>11</v>
      </c>
      <c r="C6" s="4">
        <v>0</v>
      </c>
      <c r="D6" s="4">
        <v>0</v>
      </c>
      <c r="E6" s="4">
        <v>0</v>
      </c>
      <c r="F6" s="4">
        <v>50000</v>
      </c>
      <c r="G6" s="4">
        <v>50000</v>
      </c>
    </row>
    <row r="7" spans="1:7" x14ac:dyDescent="0.3">
      <c r="A7" s="2">
        <v>5</v>
      </c>
      <c r="B7" s="2" t="s">
        <v>12</v>
      </c>
      <c r="C7" s="4">
        <v>25000</v>
      </c>
      <c r="D7" s="4">
        <v>20000</v>
      </c>
      <c r="E7" s="4">
        <v>0</v>
      </c>
      <c r="F7" s="4">
        <v>0</v>
      </c>
      <c r="G7" s="4">
        <v>45000</v>
      </c>
    </row>
    <row r="8" spans="1:7" x14ac:dyDescent="0.3">
      <c r="A8" s="5" t="s">
        <v>13</v>
      </c>
      <c r="B8" s="6"/>
      <c r="C8" s="4">
        <v>2625000</v>
      </c>
      <c r="D8" s="4">
        <v>20000</v>
      </c>
      <c r="E8" s="4">
        <v>0</v>
      </c>
      <c r="F8" s="4">
        <v>50000</v>
      </c>
      <c r="G8" s="4">
        <v>2695000</v>
      </c>
    </row>
    <row r="9" spans="1:7" x14ac:dyDescent="0.3">
      <c r="A9" s="1" t="s">
        <v>14</v>
      </c>
      <c r="B9" s="1"/>
      <c r="C9" s="1"/>
      <c r="D9" s="1"/>
      <c r="E9" s="1"/>
      <c r="F9" s="1"/>
      <c r="G9" s="1"/>
    </row>
    <row r="10" spans="1:7" x14ac:dyDescent="0.3">
      <c r="A10" s="2">
        <v>1</v>
      </c>
      <c r="B10" s="2" t="s">
        <v>8</v>
      </c>
      <c r="C10" s="4">
        <v>150000</v>
      </c>
      <c r="D10" s="4">
        <v>80000</v>
      </c>
      <c r="E10" s="4">
        <v>60000</v>
      </c>
      <c r="F10" s="4">
        <v>0</v>
      </c>
      <c r="G10" s="4">
        <v>290000</v>
      </c>
    </row>
    <row r="11" spans="1:7" x14ac:dyDescent="0.3">
      <c r="A11" s="2">
        <v>2</v>
      </c>
      <c r="B11" s="2" t="s">
        <v>9</v>
      </c>
      <c r="C11" s="4">
        <v>126000</v>
      </c>
      <c r="D11" s="4">
        <v>165000</v>
      </c>
      <c r="E11" s="4">
        <v>0</v>
      </c>
      <c r="F11" s="4">
        <v>0</v>
      </c>
      <c r="G11" s="4">
        <v>291000</v>
      </c>
    </row>
    <row r="12" spans="1:7" x14ac:dyDescent="0.3">
      <c r="A12" s="2">
        <v>3</v>
      </c>
      <c r="B12" s="2" t="s">
        <v>10</v>
      </c>
      <c r="C12" s="4">
        <v>36000</v>
      </c>
      <c r="D12" s="4">
        <v>25000</v>
      </c>
      <c r="E12" s="4">
        <v>0</v>
      </c>
      <c r="F12" s="4">
        <v>45000</v>
      </c>
      <c r="G12" s="4">
        <v>106000</v>
      </c>
    </row>
    <row r="13" spans="1:7" x14ac:dyDescent="0.3">
      <c r="A13" s="2">
        <v>4</v>
      </c>
      <c r="B13" s="2" t="s">
        <v>11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</row>
    <row r="14" spans="1:7" x14ac:dyDescent="0.3">
      <c r="A14" s="2">
        <v>5</v>
      </c>
      <c r="B14" s="2" t="s">
        <v>12</v>
      </c>
      <c r="C14" s="4">
        <v>950000</v>
      </c>
      <c r="D14" s="4">
        <v>1586750</v>
      </c>
      <c r="E14" s="4">
        <v>1804700</v>
      </c>
      <c r="F14" s="4">
        <v>3120000</v>
      </c>
      <c r="G14" s="4">
        <v>7461450</v>
      </c>
    </row>
    <row r="15" spans="1:7" x14ac:dyDescent="0.3">
      <c r="A15" s="5" t="s">
        <v>13</v>
      </c>
      <c r="B15" s="6"/>
      <c r="C15" s="4">
        <v>1262000</v>
      </c>
      <c r="D15" s="4">
        <v>1856750</v>
      </c>
      <c r="E15" s="4">
        <v>1864700</v>
      </c>
      <c r="F15" s="4">
        <v>3165000</v>
      </c>
      <c r="G15" s="4">
        <v>8148450</v>
      </c>
    </row>
  </sheetData>
  <mergeCells count="4">
    <mergeCell ref="A2:G2"/>
    <mergeCell ref="A9:G9"/>
    <mergeCell ref="A8:B8"/>
    <mergeCell ref="A15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3792-E026-4CFD-99C1-794A1CFFC0A0}">
  <dimension ref="A1:G15"/>
  <sheetViews>
    <sheetView workbookViewId="0">
      <selection activeCell="F22" sqref="F22"/>
    </sheetView>
  </sheetViews>
  <sheetFormatPr defaultRowHeight="14.4" x14ac:dyDescent="0.3"/>
  <cols>
    <col min="1" max="1" width="9.88671875" bestFit="1" customWidth="1"/>
    <col min="2" max="2" width="28.33203125" bestFit="1" customWidth="1"/>
    <col min="3" max="4" width="14.21875" bestFit="1" customWidth="1"/>
    <col min="5" max="5" width="12.6640625" bestFit="1" customWidth="1"/>
    <col min="6" max="6" width="11.6640625" bestFit="1" customWidth="1"/>
    <col min="7" max="7" width="14.21875" bestFit="1" customWidth="1"/>
  </cols>
  <sheetData>
    <row r="1" spans="1:7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x14ac:dyDescent="0.3">
      <c r="A2" s="1" t="s">
        <v>7</v>
      </c>
      <c r="B2" s="1"/>
      <c r="C2" s="1"/>
      <c r="D2" s="1"/>
      <c r="E2" s="1"/>
      <c r="F2" s="1"/>
      <c r="G2" s="1"/>
    </row>
    <row r="3" spans="1:7" x14ac:dyDescent="0.3">
      <c r="A3" s="16">
        <v>1</v>
      </c>
      <c r="B3" s="16" t="s">
        <v>8</v>
      </c>
      <c r="C3" s="19">
        <v>200000</v>
      </c>
      <c r="D3" s="19">
        <v>0</v>
      </c>
      <c r="E3" s="19">
        <v>0</v>
      </c>
      <c r="F3" s="19">
        <v>0</v>
      </c>
      <c r="G3" s="19">
        <v>200000</v>
      </c>
    </row>
    <row r="4" spans="1:7" x14ac:dyDescent="0.3">
      <c r="A4" s="16">
        <v>2</v>
      </c>
      <c r="B4" s="16" t="s">
        <v>9</v>
      </c>
      <c r="C4" s="19">
        <v>100000</v>
      </c>
      <c r="D4" s="19">
        <v>0</v>
      </c>
      <c r="E4" s="19">
        <v>0</v>
      </c>
      <c r="F4" s="19">
        <v>0</v>
      </c>
      <c r="G4" s="19">
        <v>100000</v>
      </c>
    </row>
    <row r="5" spans="1:7" x14ac:dyDescent="0.3">
      <c r="A5" s="16">
        <v>3</v>
      </c>
      <c r="B5" s="16" t="s">
        <v>10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</row>
    <row r="6" spans="1:7" x14ac:dyDescent="0.3">
      <c r="A6" s="16">
        <v>4</v>
      </c>
      <c r="B6" s="16" t="s">
        <v>11</v>
      </c>
      <c r="C6" s="19">
        <v>10000</v>
      </c>
      <c r="D6" s="19">
        <v>0</v>
      </c>
      <c r="E6" s="19">
        <v>0</v>
      </c>
      <c r="F6" s="19">
        <v>0</v>
      </c>
      <c r="G6" s="19">
        <v>100000</v>
      </c>
    </row>
    <row r="7" spans="1:7" x14ac:dyDescent="0.3">
      <c r="A7" s="16">
        <v>5</v>
      </c>
      <c r="B7" s="16" t="s">
        <v>12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</row>
    <row r="8" spans="1:7" x14ac:dyDescent="0.3">
      <c r="A8" s="5" t="s">
        <v>13</v>
      </c>
      <c r="B8" s="6"/>
      <c r="C8" s="19">
        <v>400000</v>
      </c>
      <c r="D8" s="19">
        <v>0</v>
      </c>
      <c r="E8" s="19">
        <v>0</v>
      </c>
      <c r="F8" s="19">
        <v>0</v>
      </c>
      <c r="G8" s="19">
        <v>400000</v>
      </c>
    </row>
    <row r="9" spans="1:7" x14ac:dyDescent="0.3">
      <c r="A9" s="1" t="s">
        <v>14</v>
      </c>
      <c r="B9" s="1"/>
      <c r="C9" s="1"/>
      <c r="D9" s="1"/>
      <c r="E9" s="1"/>
      <c r="F9" s="1"/>
      <c r="G9" s="1"/>
    </row>
    <row r="10" spans="1:7" x14ac:dyDescent="0.3">
      <c r="A10" s="16">
        <v>1</v>
      </c>
      <c r="B10" s="16" t="s">
        <v>8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</row>
    <row r="11" spans="1:7" x14ac:dyDescent="0.3">
      <c r="A11" s="16">
        <v>2</v>
      </c>
      <c r="B11" s="16" t="s">
        <v>9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</row>
    <row r="12" spans="1:7" x14ac:dyDescent="0.3">
      <c r="A12" s="16">
        <v>3</v>
      </c>
      <c r="B12" s="16" t="s">
        <v>10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</row>
    <row r="13" spans="1:7" x14ac:dyDescent="0.3">
      <c r="A13" s="16">
        <v>4</v>
      </c>
      <c r="B13" s="16" t="s">
        <v>11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</row>
    <row r="14" spans="1:7" x14ac:dyDescent="0.3">
      <c r="A14" s="16">
        <v>5</v>
      </c>
      <c r="B14" s="16" t="s">
        <v>12</v>
      </c>
      <c r="C14" s="19">
        <v>3688000</v>
      </c>
      <c r="D14" s="19">
        <v>1040000</v>
      </c>
      <c r="E14" s="19">
        <v>467360</v>
      </c>
      <c r="F14" s="19">
        <v>95360</v>
      </c>
      <c r="G14" s="19">
        <f>SUM(C14:F14)</f>
        <v>5290720</v>
      </c>
    </row>
    <row r="15" spans="1:7" x14ac:dyDescent="0.3">
      <c r="A15" s="5" t="s">
        <v>13</v>
      </c>
      <c r="B15" s="6"/>
      <c r="C15" s="19">
        <f t="shared" ref="C15:E15" si="0">SUM(C10:C14)</f>
        <v>3688000</v>
      </c>
      <c r="D15" s="19">
        <f t="shared" si="0"/>
        <v>1040000</v>
      </c>
      <c r="E15" s="19">
        <f t="shared" si="0"/>
        <v>467360</v>
      </c>
      <c r="F15" s="19">
        <f>SUM(F10:F14)</f>
        <v>95360</v>
      </c>
      <c r="G15" s="19">
        <f>SUM(C15:F15)</f>
        <v>5290720</v>
      </c>
    </row>
  </sheetData>
  <mergeCells count="4">
    <mergeCell ref="A2:G2"/>
    <mergeCell ref="A8:B8"/>
    <mergeCell ref="A9:G9"/>
    <mergeCell ref="A15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0B4D-99A3-4F77-B4E8-DFB526D6AFB9}">
  <dimension ref="A1:G15"/>
  <sheetViews>
    <sheetView workbookViewId="0">
      <selection activeCell="C21" sqref="C21"/>
    </sheetView>
  </sheetViews>
  <sheetFormatPr defaultRowHeight="14.4" x14ac:dyDescent="0.3"/>
  <cols>
    <col min="1" max="1" width="14.88671875" customWidth="1"/>
    <col min="2" max="2" width="29" customWidth="1"/>
    <col min="3" max="4" width="15.5546875" bestFit="1" customWidth="1"/>
    <col min="5" max="6" width="13.88671875" bestFit="1" customWidth="1"/>
    <col min="7" max="7" width="15.5546875" bestFit="1" customWidth="1"/>
  </cols>
  <sheetData>
    <row r="1" spans="1:7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x14ac:dyDescent="0.3">
      <c r="A2" s="1" t="s">
        <v>7</v>
      </c>
      <c r="B2" s="1"/>
      <c r="C2" s="1"/>
      <c r="D2" s="1"/>
      <c r="E2" s="1"/>
      <c r="F2" s="1"/>
      <c r="G2" s="1"/>
    </row>
    <row r="3" spans="1:7" x14ac:dyDescent="0.3">
      <c r="A3" s="16">
        <v>1</v>
      </c>
      <c r="B3" s="16" t="s">
        <v>8</v>
      </c>
      <c r="C3" s="18">
        <v>1500000</v>
      </c>
      <c r="D3" s="18">
        <v>500000</v>
      </c>
      <c r="E3" s="18">
        <v>0</v>
      </c>
      <c r="F3" s="18">
        <v>0</v>
      </c>
      <c r="G3" s="18">
        <v>2000000</v>
      </c>
    </row>
    <row r="4" spans="1:7" x14ac:dyDescent="0.3">
      <c r="A4" s="16">
        <v>2</v>
      </c>
      <c r="B4" s="16" t="s">
        <v>9</v>
      </c>
      <c r="C4" s="18">
        <v>500000</v>
      </c>
      <c r="D4" s="18">
        <v>1000000</v>
      </c>
      <c r="E4" s="18">
        <v>0</v>
      </c>
      <c r="F4" s="18">
        <v>0</v>
      </c>
      <c r="G4" s="18">
        <v>1500000</v>
      </c>
    </row>
    <row r="5" spans="1:7" x14ac:dyDescent="0.3">
      <c r="A5" s="16">
        <v>3</v>
      </c>
      <c r="B5" s="16" t="s">
        <v>10</v>
      </c>
      <c r="C5" s="18">
        <v>300000</v>
      </c>
      <c r="D5" s="18">
        <v>200000</v>
      </c>
      <c r="E5" s="18">
        <v>0</v>
      </c>
      <c r="F5" s="18">
        <v>0</v>
      </c>
      <c r="G5" s="18">
        <v>500000</v>
      </c>
    </row>
    <row r="6" spans="1:7" x14ac:dyDescent="0.3">
      <c r="A6" s="16">
        <v>4</v>
      </c>
      <c r="B6" s="16" t="s">
        <v>11</v>
      </c>
      <c r="C6" s="18">
        <v>200000</v>
      </c>
      <c r="D6" s="18">
        <v>300000</v>
      </c>
      <c r="E6" s="18">
        <v>0</v>
      </c>
      <c r="F6" s="18">
        <v>0</v>
      </c>
      <c r="G6" s="18">
        <v>500000</v>
      </c>
    </row>
    <row r="7" spans="1:7" x14ac:dyDescent="0.3">
      <c r="A7" s="16">
        <v>5</v>
      </c>
      <c r="B7" s="16" t="s">
        <v>12</v>
      </c>
      <c r="C7" s="18">
        <v>100000</v>
      </c>
      <c r="D7" s="18">
        <v>50000</v>
      </c>
      <c r="E7" s="18">
        <v>0</v>
      </c>
      <c r="F7" s="18">
        <v>0</v>
      </c>
      <c r="G7" s="18">
        <v>150000</v>
      </c>
    </row>
    <row r="8" spans="1:7" x14ac:dyDescent="0.3">
      <c r="A8" s="5" t="s">
        <v>13</v>
      </c>
      <c r="B8" s="6"/>
      <c r="C8" s="18">
        <v>2600000</v>
      </c>
      <c r="D8" s="18">
        <v>2050000</v>
      </c>
      <c r="E8" s="18">
        <v>0</v>
      </c>
      <c r="F8" s="18">
        <v>0</v>
      </c>
      <c r="G8" s="18">
        <v>4650000</v>
      </c>
    </row>
    <row r="9" spans="1:7" x14ac:dyDescent="0.3">
      <c r="A9" s="1" t="s">
        <v>14</v>
      </c>
      <c r="B9" s="1"/>
      <c r="C9" s="1"/>
      <c r="D9" s="1"/>
      <c r="E9" s="1"/>
      <c r="F9" s="1"/>
      <c r="G9" s="1"/>
    </row>
    <row r="10" spans="1:7" x14ac:dyDescent="0.3">
      <c r="A10" s="16">
        <v>1</v>
      </c>
      <c r="B10" s="16" t="s">
        <v>8</v>
      </c>
      <c r="C10" s="18">
        <v>50000</v>
      </c>
      <c r="D10" s="18">
        <v>50000</v>
      </c>
      <c r="E10" s="18">
        <v>50000</v>
      </c>
      <c r="F10" s="18">
        <v>50000</v>
      </c>
      <c r="G10" s="18">
        <v>200000</v>
      </c>
    </row>
    <row r="11" spans="1:7" x14ac:dyDescent="0.3">
      <c r="A11" s="16">
        <v>2</v>
      </c>
      <c r="B11" s="16" t="s">
        <v>9</v>
      </c>
      <c r="C11" s="18">
        <v>80000</v>
      </c>
      <c r="D11" s="18">
        <v>80000</v>
      </c>
      <c r="E11" s="18">
        <v>80000</v>
      </c>
      <c r="F11" s="18">
        <v>80000</v>
      </c>
      <c r="G11" s="18">
        <v>320000</v>
      </c>
    </row>
    <row r="12" spans="1:7" x14ac:dyDescent="0.3">
      <c r="A12" s="16">
        <v>3</v>
      </c>
      <c r="B12" s="16" t="s">
        <v>10</v>
      </c>
      <c r="C12" s="18">
        <v>30000</v>
      </c>
      <c r="D12" s="18">
        <v>30000</v>
      </c>
      <c r="E12" s="18">
        <v>30000</v>
      </c>
      <c r="F12" s="18">
        <v>30000</v>
      </c>
      <c r="G12" s="18">
        <v>120000</v>
      </c>
    </row>
    <row r="13" spans="1:7" x14ac:dyDescent="0.3">
      <c r="A13" s="16">
        <v>4</v>
      </c>
      <c r="B13" s="16" t="s">
        <v>11</v>
      </c>
      <c r="C13" s="18">
        <v>100000</v>
      </c>
      <c r="D13" s="18">
        <v>100000</v>
      </c>
      <c r="E13" s="18">
        <v>100000</v>
      </c>
      <c r="F13" s="18">
        <v>100000</v>
      </c>
      <c r="G13" s="18">
        <v>400000</v>
      </c>
    </row>
    <row r="14" spans="1:7" x14ac:dyDescent="0.3">
      <c r="A14" s="16">
        <v>5</v>
      </c>
      <c r="B14" s="16" t="s">
        <v>12</v>
      </c>
      <c r="C14" s="18">
        <v>20000</v>
      </c>
      <c r="D14" s="18">
        <v>20000</v>
      </c>
      <c r="E14" s="18">
        <v>20000</v>
      </c>
      <c r="F14" s="18">
        <v>20000</v>
      </c>
      <c r="G14" s="18">
        <v>80000</v>
      </c>
    </row>
    <row r="15" spans="1:7" x14ac:dyDescent="0.3">
      <c r="A15" s="5" t="s">
        <v>13</v>
      </c>
      <c r="B15" s="6"/>
      <c r="C15" s="18">
        <v>280000</v>
      </c>
      <c r="D15" s="18">
        <v>280000</v>
      </c>
      <c r="E15" s="18">
        <v>280000</v>
      </c>
      <c r="F15" s="18">
        <v>280000</v>
      </c>
      <c r="G15" s="18">
        <v>1120000</v>
      </c>
    </row>
  </sheetData>
  <mergeCells count="4">
    <mergeCell ref="A2:G2"/>
    <mergeCell ref="A9:G9"/>
    <mergeCell ref="A15:B15"/>
    <mergeCell ref="A8:B8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E51C-44F2-4F52-83DD-FEC07C2F5B50}">
  <dimension ref="A1:G15"/>
  <sheetViews>
    <sheetView workbookViewId="0">
      <selection activeCell="H20" sqref="H20"/>
    </sheetView>
  </sheetViews>
  <sheetFormatPr defaultRowHeight="14.4" x14ac:dyDescent="0.3"/>
  <cols>
    <col min="1" max="1" width="9.88671875" bestFit="1" customWidth="1"/>
    <col min="2" max="2" width="28.33203125" bestFit="1" customWidth="1"/>
    <col min="3" max="3" width="15.6640625" customWidth="1"/>
    <col min="4" max="4" width="14.6640625" customWidth="1"/>
    <col min="5" max="5" width="14.33203125" customWidth="1"/>
    <col min="6" max="6" width="14.88671875" customWidth="1"/>
    <col min="7" max="7" width="17.109375" customWidth="1"/>
  </cols>
  <sheetData>
    <row r="1" spans="1:7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3">
      <c r="A2" s="1" t="s">
        <v>7</v>
      </c>
      <c r="B2" s="1"/>
      <c r="C2" s="1"/>
      <c r="D2" s="1"/>
      <c r="E2" s="1"/>
      <c r="F2" s="1"/>
      <c r="G2" s="1"/>
    </row>
    <row r="3" spans="1:7" x14ac:dyDescent="0.3">
      <c r="A3" s="7">
        <v>1</v>
      </c>
      <c r="B3" s="7" t="s">
        <v>8</v>
      </c>
      <c r="C3" s="9">
        <v>140000</v>
      </c>
      <c r="D3" s="9">
        <v>250000</v>
      </c>
      <c r="E3" s="9">
        <v>80000</v>
      </c>
      <c r="F3" s="9">
        <v>75000</v>
      </c>
      <c r="G3" s="9">
        <v>545000</v>
      </c>
    </row>
    <row r="4" spans="1:7" x14ac:dyDescent="0.3">
      <c r="A4" s="7">
        <v>2</v>
      </c>
      <c r="B4" s="7" t="s">
        <v>9</v>
      </c>
      <c r="C4" s="9">
        <v>0</v>
      </c>
      <c r="D4" s="9">
        <v>85000</v>
      </c>
      <c r="E4" s="9">
        <v>100000</v>
      </c>
      <c r="F4" s="9">
        <v>90000</v>
      </c>
      <c r="G4" s="9">
        <v>275000</v>
      </c>
    </row>
    <row r="5" spans="1:7" x14ac:dyDescent="0.3">
      <c r="A5" s="7">
        <v>3</v>
      </c>
      <c r="B5" s="7" t="s">
        <v>10</v>
      </c>
      <c r="C5" s="9">
        <v>4000</v>
      </c>
      <c r="D5" s="9">
        <v>15000</v>
      </c>
      <c r="E5" s="9">
        <v>35000</v>
      </c>
      <c r="F5" s="9">
        <v>30000</v>
      </c>
      <c r="G5" s="9">
        <v>84000</v>
      </c>
    </row>
    <row r="6" spans="1:7" x14ac:dyDescent="0.3">
      <c r="A6" s="7">
        <v>4</v>
      </c>
      <c r="B6" s="7" t="s">
        <v>11</v>
      </c>
      <c r="C6" s="9">
        <v>0</v>
      </c>
      <c r="D6" s="9">
        <v>0</v>
      </c>
      <c r="E6" s="9">
        <v>0</v>
      </c>
      <c r="F6" s="9">
        <v>0</v>
      </c>
      <c r="G6" s="9">
        <v>0</v>
      </c>
    </row>
    <row r="7" spans="1:7" x14ac:dyDescent="0.3">
      <c r="A7" s="7">
        <v>5</v>
      </c>
      <c r="B7" s="7" t="s">
        <v>12</v>
      </c>
      <c r="C7" s="9">
        <v>0</v>
      </c>
      <c r="D7" s="9">
        <v>0</v>
      </c>
      <c r="E7" s="9">
        <v>0</v>
      </c>
      <c r="F7" s="9">
        <v>0</v>
      </c>
      <c r="G7" s="9">
        <v>0</v>
      </c>
    </row>
    <row r="8" spans="1:7" x14ac:dyDescent="0.3">
      <c r="A8" s="5" t="s">
        <v>13</v>
      </c>
      <c r="B8" s="6"/>
      <c r="C8" s="9">
        <v>144000</v>
      </c>
      <c r="D8" s="9">
        <v>350000</v>
      </c>
      <c r="E8" s="9">
        <v>215000</v>
      </c>
      <c r="F8" s="9">
        <v>195000</v>
      </c>
      <c r="G8" s="9">
        <v>904000</v>
      </c>
    </row>
    <row r="9" spans="1:7" x14ac:dyDescent="0.3">
      <c r="A9" s="1" t="s">
        <v>14</v>
      </c>
      <c r="B9" s="1"/>
      <c r="C9" s="1"/>
      <c r="D9" s="1"/>
      <c r="E9" s="1"/>
      <c r="F9" s="1"/>
      <c r="G9" s="1"/>
    </row>
    <row r="10" spans="1:7" x14ac:dyDescent="0.3">
      <c r="A10" s="7">
        <v>1</v>
      </c>
      <c r="B10" s="7" t="s">
        <v>8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x14ac:dyDescent="0.3">
      <c r="A11" s="7">
        <v>2</v>
      </c>
      <c r="B11" s="7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x14ac:dyDescent="0.3">
      <c r="A12" s="7">
        <v>3</v>
      </c>
      <c r="B12" s="7" t="s">
        <v>10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x14ac:dyDescent="0.3">
      <c r="A13" s="7">
        <v>4</v>
      </c>
      <c r="B13" s="7" t="s">
        <v>11</v>
      </c>
      <c r="C13" s="9">
        <v>36000</v>
      </c>
      <c r="D13" s="9">
        <v>82000</v>
      </c>
      <c r="E13" s="9">
        <v>123200</v>
      </c>
      <c r="F13" s="9">
        <v>57600</v>
      </c>
      <c r="G13" s="9">
        <v>298800</v>
      </c>
    </row>
    <row r="14" spans="1:7" x14ac:dyDescent="0.3">
      <c r="A14" s="7">
        <v>5</v>
      </c>
      <c r="B14" s="7" t="s">
        <v>12</v>
      </c>
      <c r="C14" s="9">
        <v>18000</v>
      </c>
      <c r="D14" s="9">
        <v>21000</v>
      </c>
      <c r="E14" s="9">
        <v>36300</v>
      </c>
      <c r="F14" s="9">
        <v>25500</v>
      </c>
      <c r="G14" s="9">
        <v>100800</v>
      </c>
    </row>
    <row r="15" spans="1:7" x14ac:dyDescent="0.3">
      <c r="A15" s="5" t="s">
        <v>13</v>
      </c>
      <c r="B15" s="6"/>
      <c r="C15" s="9">
        <v>54000</v>
      </c>
      <c r="D15" s="9">
        <v>103000</v>
      </c>
      <c r="E15" s="9">
        <v>159500</v>
      </c>
      <c r="F15" s="9">
        <v>83100</v>
      </c>
      <c r="G15" s="9">
        <v>399600</v>
      </c>
    </row>
  </sheetData>
  <mergeCells count="4">
    <mergeCell ref="A2:G2"/>
    <mergeCell ref="A9:G9"/>
    <mergeCell ref="A8:B8"/>
    <mergeCell ref="A15:B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044E-E244-4E94-9ED4-B90F0218A616}">
  <dimension ref="A1:G15"/>
  <sheetViews>
    <sheetView topLeftCell="A2" workbookViewId="0">
      <selection activeCell="D24" sqref="D24"/>
    </sheetView>
  </sheetViews>
  <sheetFormatPr defaultRowHeight="14.4" x14ac:dyDescent="0.3"/>
  <cols>
    <col min="1" max="1" width="9.88671875" bestFit="1" customWidth="1"/>
    <col min="2" max="2" width="33.77734375" customWidth="1"/>
    <col min="3" max="3" width="12.77734375" bestFit="1" customWidth="1"/>
    <col min="4" max="4" width="17" customWidth="1"/>
    <col min="5" max="5" width="15.5546875" customWidth="1"/>
    <col min="6" max="6" width="16.33203125" customWidth="1"/>
    <col min="7" max="7" width="16.6640625" customWidth="1"/>
  </cols>
  <sheetData>
    <row r="1" spans="1:7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3">
      <c r="A2" s="1" t="s">
        <v>7</v>
      </c>
      <c r="B2" s="1"/>
      <c r="C2" s="1"/>
      <c r="D2" s="1"/>
      <c r="E2" s="1"/>
      <c r="F2" s="1"/>
      <c r="G2" s="1"/>
    </row>
    <row r="3" spans="1:7" x14ac:dyDescent="0.3">
      <c r="A3" s="10">
        <v>1</v>
      </c>
      <c r="B3" s="10" t="s">
        <v>8</v>
      </c>
      <c r="C3" s="9">
        <v>0</v>
      </c>
      <c r="D3" s="9">
        <v>0</v>
      </c>
      <c r="E3" s="12">
        <v>600000</v>
      </c>
      <c r="F3" s="12">
        <v>0</v>
      </c>
      <c r="G3" s="13">
        <v>600000</v>
      </c>
    </row>
    <row r="4" spans="1:7" x14ac:dyDescent="0.3">
      <c r="A4" s="10">
        <v>2</v>
      </c>
      <c r="B4" s="10" t="s">
        <v>9</v>
      </c>
      <c r="C4" s="9">
        <v>0</v>
      </c>
      <c r="D4" s="9">
        <v>0</v>
      </c>
      <c r="E4" s="12">
        <v>1230000</v>
      </c>
      <c r="F4" s="12">
        <v>0</v>
      </c>
      <c r="G4" s="13">
        <v>1230000</v>
      </c>
    </row>
    <row r="5" spans="1:7" x14ac:dyDescent="0.3">
      <c r="A5" s="10">
        <v>3</v>
      </c>
      <c r="B5" s="10" t="s">
        <v>10</v>
      </c>
      <c r="C5" s="9">
        <v>0</v>
      </c>
      <c r="D5" s="9">
        <v>0</v>
      </c>
      <c r="E5" s="12">
        <v>0</v>
      </c>
      <c r="F5" s="12">
        <v>0</v>
      </c>
      <c r="G5" s="13">
        <v>0</v>
      </c>
    </row>
    <row r="6" spans="1:7" x14ac:dyDescent="0.3">
      <c r="A6" s="10">
        <v>4</v>
      </c>
      <c r="B6" s="10" t="s">
        <v>11</v>
      </c>
      <c r="C6" s="9">
        <v>0</v>
      </c>
      <c r="D6" s="9">
        <v>0</v>
      </c>
      <c r="E6" s="12">
        <v>0</v>
      </c>
      <c r="F6" s="12">
        <v>0</v>
      </c>
      <c r="G6" s="13">
        <v>0</v>
      </c>
    </row>
    <row r="7" spans="1:7" x14ac:dyDescent="0.3">
      <c r="A7" s="10">
        <v>5</v>
      </c>
      <c r="B7" s="10" t="s">
        <v>12</v>
      </c>
      <c r="C7" s="9">
        <v>0</v>
      </c>
      <c r="D7" s="9">
        <v>0</v>
      </c>
      <c r="E7" s="12">
        <v>0</v>
      </c>
      <c r="F7" s="12">
        <v>0</v>
      </c>
      <c r="G7" s="13">
        <v>0</v>
      </c>
    </row>
    <row r="8" spans="1:7" x14ac:dyDescent="0.3">
      <c r="A8" s="5" t="s">
        <v>13</v>
      </c>
      <c r="B8" s="6"/>
      <c r="C8" s="9">
        <v>0</v>
      </c>
      <c r="D8" s="9">
        <v>0</v>
      </c>
      <c r="E8" s="12">
        <v>1830000</v>
      </c>
      <c r="F8" s="12">
        <v>0</v>
      </c>
      <c r="G8" s="14">
        <v>1830000</v>
      </c>
    </row>
    <row r="9" spans="1:7" x14ac:dyDescent="0.3">
      <c r="A9" s="1" t="s">
        <v>14</v>
      </c>
      <c r="B9" s="1"/>
      <c r="C9" s="1"/>
      <c r="D9" s="1"/>
      <c r="E9" s="1"/>
      <c r="F9" s="1"/>
      <c r="G9" s="1"/>
    </row>
    <row r="10" spans="1:7" x14ac:dyDescent="0.3">
      <c r="A10" s="10">
        <v>1</v>
      </c>
      <c r="B10" s="10" t="s">
        <v>8</v>
      </c>
      <c r="C10" s="15">
        <v>0</v>
      </c>
      <c r="D10" s="15">
        <v>0</v>
      </c>
      <c r="E10" s="12">
        <v>230000</v>
      </c>
      <c r="F10" s="12">
        <v>148000</v>
      </c>
      <c r="G10" s="12">
        <v>378000</v>
      </c>
    </row>
    <row r="11" spans="1:7" x14ac:dyDescent="0.3">
      <c r="A11" s="10">
        <v>2</v>
      </c>
      <c r="B11" s="10" t="s">
        <v>9</v>
      </c>
      <c r="C11" s="15">
        <v>0</v>
      </c>
      <c r="D11" s="15">
        <v>0</v>
      </c>
      <c r="E11" s="12">
        <v>99000</v>
      </c>
      <c r="F11" s="12">
        <v>0</v>
      </c>
      <c r="G11" s="12">
        <v>99000</v>
      </c>
    </row>
    <row r="12" spans="1:7" x14ac:dyDescent="0.3">
      <c r="A12" s="10">
        <v>3</v>
      </c>
      <c r="B12" s="10" t="s">
        <v>10</v>
      </c>
      <c r="C12" s="15">
        <v>0</v>
      </c>
      <c r="D12" s="15">
        <v>0</v>
      </c>
      <c r="E12" s="12">
        <v>25000</v>
      </c>
      <c r="F12" s="12">
        <v>57000</v>
      </c>
      <c r="G12" s="12">
        <v>82000</v>
      </c>
    </row>
    <row r="13" spans="1:7" x14ac:dyDescent="0.3">
      <c r="A13" s="10">
        <v>4</v>
      </c>
      <c r="B13" s="10" t="s">
        <v>11</v>
      </c>
      <c r="C13" s="15">
        <v>0</v>
      </c>
      <c r="D13" s="15">
        <v>0</v>
      </c>
      <c r="E13" s="12">
        <v>300000</v>
      </c>
      <c r="F13" s="12">
        <v>0</v>
      </c>
      <c r="G13" s="12">
        <v>300000</v>
      </c>
    </row>
    <row r="14" spans="1:7" x14ac:dyDescent="0.3">
      <c r="A14" s="10">
        <v>5</v>
      </c>
      <c r="B14" s="10" t="s">
        <v>12</v>
      </c>
      <c r="C14" s="15">
        <v>0</v>
      </c>
      <c r="D14" s="15">
        <v>0</v>
      </c>
      <c r="E14" s="12">
        <v>186000</v>
      </c>
      <c r="F14" s="12">
        <v>310000</v>
      </c>
      <c r="G14" s="12">
        <f>SUM(C14:F14)</f>
        <v>496000</v>
      </c>
    </row>
    <row r="15" spans="1:7" x14ac:dyDescent="0.3">
      <c r="A15" s="5" t="s">
        <v>13</v>
      </c>
      <c r="B15" s="6"/>
      <c r="C15" s="15">
        <v>0</v>
      </c>
      <c r="D15" s="15">
        <v>0</v>
      </c>
      <c r="E15" s="12">
        <f>SUM(E10:E14)</f>
        <v>840000</v>
      </c>
      <c r="F15" s="12">
        <v>3480600</v>
      </c>
      <c r="G15" s="12">
        <f>SUM(G10:G14)</f>
        <v>1355000</v>
      </c>
    </row>
  </sheetData>
  <mergeCells count="4">
    <mergeCell ref="A2:G2"/>
    <mergeCell ref="A9:G9"/>
    <mergeCell ref="A8:B8"/>
    <mergeCell ref="A15:B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3208-2C1E-4FA7-BF96-4A633832E708}">
  <dimension ref="A1:G15"/>
  <sheetViews>
    <sheetView workbookViewId="0">
      <selection activeCell="G21" sqref="G21"/>
    </sheetView>
  </sheetViews>
  <sheetFormatPr defaultRowHeight="14.4" x14ac:dyDescent="0.3"/>
  <cols>
    <col min="1" max="1" width="9.88671875" bestFit="1" customWidth="1"/>
    <col min="2" max="2" width="57.77734375" customWidth="1"/>
    <col min="3" max="3" width="13.6640625" customWidth="1"/>
    <col min="4" max="4" width="13.44140625" customWidth="1"/>
    <col min="5" max="5" width="15.21875" customWidth="1"/>
    <col min="6" max="6" width="16.44140625" customWidth="1"/>
    <col min="7" max="7" width="25.77734375" customWidth="1"/>
  </cols>
  <sheetData>
    <row r="1" spans="1:7" x14ac:dyDescent="0.3">
      <c r="A1" s="17" t="s">
        <v>0</v>
      </c>
      <c r="B1" s="17" t="s">
        <v>15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x14ac:dyDescent="0.3">
      <c r="A2" s="1" t="s">
        <v>7</v>
      </c>
      <c r="B2" s="1"/>
      <c r="C2" s="1"/>
      <c r="D2" s="1"/>
      <c r="E2" s="1"/>
      <c r="F2" s="1"/>
      <c r="G2" s="1"/>
    </row>
    <row r="3" spans="1:7" x14ac:dyDescent="0.3">
      <c r="A3" s="16">
        <v>1</v>
      </c>
      <c r="B3" s="16" t="s">
        <v>20</v>
      </c>
      <c r="C3" s="9">
        <f>CRM!C8</f>
        <v>2625000</v>
      </c>
      <c r="D3" s="9">
        <f>CRM!D8</f>
        <v>20000</v>
      </c>
      <c r="E3" s="9">
        <f>CRM!E8</f>
        <v>0</v>
      </c>
      <c r="F3" s="9">
        <f>CRM!F8</f>
        <v>50000</v>
      </c>
      <c r="G3" s="9">
        <f>SUM(C3:F3)</f>
        <v>2695000</v>
      </c>
    </row>
    <row r="4" spans="1:7" x14ac:dyDescent="0.3">
      <c r="A4" s="16">
        <v>2</v>
      </c>
      <c r="B4" s="16" t="s">
        <v>18</v>
      </c>
      <c r="C4" s="9">
        <f>СППР!C8</f>
        <v>400000</v>
      </c>
      <c r="D4" s="9">
        <f>СППР!D8</f>
        <v>0</v>
      </c>
      <c r="E4" s="9">
        <f>СППР!E8</f>
        <v>0</v>
      </c>
      <c r="F4" s="9">
        <f>СППР!F8</f>
        <v>0</v>
      </c>
      <c r="G4" s="9">
        <f>SUM(C4:F4)</f>
        <v>400000</v>
      </c>
    </row>
    <row r="5" spans="1:7" x14ac:dyDescent="0.3">
      <c r="A5" s="16">
        <v>3</v>
      </c>
      <c r="B5" s="16" t="s">
        <v>16</v>
      </c>
      <c r="C5" s="9">
        <f>QMS!C8</f>
        <v>2600000</v>
      </c>
      <c r="D5" s="9">
        <f>QMS!D8</f>
        <v>2050000</v>
      </c>
      <c r="E5" s="9">
        <f>QMS!E8</f>
        <v>0</v>
      </c>
      <c r="F5" s="9">
        <f>QMS!F8</f>
        <v>0</v>
      </c>
      <c r="G5" s="9">
        <f>SUM(C5:F5)</f>
        <v>4650000</v>
      </c>
    </row>
    <row r="6" spans="1:7" x14ac:dyDescent="0.3">
      <c r="A6" s="16">
        <v>4</v>
      </c>
      <c r="B6" s="16" t="s">
        <v>17</v>
      </c>
      <c r="C6" s="9">
        <f>'Мобильное приложение'!C8</f>
        <v>144000</v>
      </c>
      <c r="D6" s="9">
        <f>'Мобильное приложение'!D8</f>
        <v>350000</v>
      </c>
      <c r="E6" s="9">
        <f>'Мобильное приложение'!E8</f>
        <v>215000</v>
      </c>
      <c r="F6" s="9">
        <f>'Мобильное приложение'!F8</f>
        <v>195000</v>
      </c>
      <c r="G6" s="9">
        <f>SUM(C6:F6)</f>
        <v>904000</v>
      </c>
    </row>
    <row r="7" spans="1:7" x14ac:dyDescent="0.3">
      <c r="A7" s="16">
        <v>5</v>
      </c>
      <c r="B7" s="16" t="s">
        <v>19</v>
      </c>
      <c r="C7" s="9">
        <f>PLM!C8</f>
        <v>0</v>
      </c>
      <c r="D7" s="9">
        <f>PLM!D8</f>
        <v>0</v>
      </c>
      <c r="E7" s="9">
        <f>PLM!E8</f>
        <v>1830000</v>
      </c>
      <c r="F7" s="9">
        <f>PLM!F8</f>
        <v>0</v>
      </c>
      <c r="G7" s="9">
        <f>SUM(C7:F7)</f>
        <v>1830000</v>
      </c>
    </row>
    <row r="8" spans="1:7" x14ac:dyDescent="0.3">
      <c r="A8" s="5" t="s">
        <v>13</v>
      </c>
      <c r="B8" s="6"/>
      <c r="C8" s="9">
        <f>SUM(C3:C7)</f>
        <v>5769000</v>
      </c>
      <c r="D8" s="9">
        <f>SUM(D3:D7)</f>
        <v>2420000</v>
      </c>
      <c r="E8" s="9">
        <f>SUM(E3:E7)</f>
        <v>2045000</v>
      </c>
      <c r="F8" s="9">
        <f>SUM(F3:F7)</f>
        <v>245000</v>
      </c>
      <c r="G8" s="9">
        <f>SUM(C8:F8)</f>
        <v>10479000</v>
      </c>
    </row>
    <row r="9" spans="1:7" x14ac:dyDescent="0.3">
      <c r="A9" s="1" t="s">
        <v>14</v>
      </c>
      <c r="B9" s="1"/>
      <c r="C9" s="1"/>
      <c r="D9" s="1"/>
      <c r="E9" s="1"/>
      <c r="F9" s="1"/>
      <c r="G9" s="1"/>
    </row>
    <row r="10" spans="1:7" x14ac:dyDescent="0.3">
      <c r="A10" s="16">
        <v>1</v>
      </c>
      <c r="B10" s="16" t="s">
        <v>20</v>
      </c>
      <c r="C10" s="9">
        <f>CRM!C15</f>
        <v>1262000</v>
      </c>
      <c r="D10" s="9">
        <f>CRM!D15</f>
        <v>1856750</v>
      </c>
      <c r="E10" s="9">
        <f>CRM!E15</f>
        <v>1864700</v>
      </c>
      <c r="F10" s="9">
        <f>CRM!F15</f>
        <v>3165000</v>
      </c>
      <c r="G10" s="9">
        <f>SUM(C10:F10)</f>
        <v>8148450</v>
      </c>
    </row>
    <row r="11" spans="1:7" x14ac:dyDescent="0.3">
      <c r="A11" s="16">
        <v>2</v>
      </c>
      <c r="B11" s="16" t="s">
        <v>18</v>
      </c>
      <c r="C11" s="9">
        <f>СППР!C15</f>
        <v>3688000</v>
      </c>
      <c r="D11" s="9">
        <f>СППР!D15</f>
        <v>1040000</v>
      </c>
      <c r="E11" s="9">
        <f>СППР!E15</f>
        <v>467360</v>
      </c>
      <c r="F11" s="9">
        <f>СППР!F15</f>
        <v>95360</v>
      </c>
      <c r="G11" s="9">
        <f>SUM(C11:F11)</f>
        <v>5290720</v>
      </c>
    </row>
    <row r="12" spans="1:7" x14ac:dyDescent="0.3">
      <c r="A12" s="16">
        <v>3</v>
      </c>
      <c r="B12" s="16" t="s">
        <v>16</v>
      </c>
      <c r="C12" s="9">
        <f>QMS!C15</f>
        <v>280000</v>
      </c>
      <c r="D12" s="9">
        <f>QMS!D15</f>
        <v>280000</v>
      </c>
      <c r="E12" s="9">
        <f>QMS!E15</f>
        <v>280000</v>
      </c>
      <c r="F12" s="9">
        <f>QMS!F15</f>
        <v>280000</v>
      </c>
      <c r="G12" s="9">
        <f>SUM(C12:F12)</f>
        <v>1120000</v>
      </c>
    </row>
    <row r="13" spans="1:7" x14ac:dyDescent="0.3">
      <c r="A13" s="16">
        <v>4</v>
      </c>
      <c r="B13" s="16" t="s">
        <v>17</v>
      </c>
      <c r="C13" s="9">
        <f>'Мобильное приложение'!C15</f>
        <v>54000</v>
      </c>
      <c r="D13" s="9">
        <f>'Мобильное приложение'!D15</f>
        <v>103000</v>
      </c>
      <c r="E13" s="9">
        <f>'Мобильное приложение'!E15</f>
        <v>159500</v>
      </c>
      <c r="F13" s="9">
        <f>'Мобильное приложение'!F15</f>
        <v>83100</v>
      </c>
      <c r="G13" s="9">
        <f>SUM(C13:F13)</f>
        <v>399600</v>
      </c>
    </row>
    <row r="14" spans="1:7" x14ac:dyDescent="0.3">
      <c r="A14" s="16">
        <v>5</v>
      </c>
      <c r="B14" s="16" t="s">
        <v>19</v>
      </c>
      <c r="C14" s="9">
        <f>PLM!C15</f>
        <v>0</v>
      </c>
      <c r="D14" s="9">
        <f>PLM!D15</f>
        <v>0</v>
      </c>
      <c r="E14" s="9">
        <f>PLM!E15</f>
        <v>840000</v>
      </c>
      <c r="F14" s="9">
        <f>PLM!F15</f>
        <v>3480600</v>
      </c>
      <c r="G14" s="9">
        <f>SUM(C14:F14)</f>
        <v>4320600</v>
      </c>
    </row>
    <row r="15" spans="1:7" x14ac:dyDescent="0.3">
      <c r="A15" s="5" t="s">
        <v>13</v>
      </c>
      <c r="B15" s="6"/>
      <c r="C15" s="9">
        <f>SUM(C10:C14)</f>
        <v>5284000</v>
      </c>
      <c r="D15" s="9">
        <f>SUM(D10:D14)</f>
        <v>3279750</v>
      </c>
      <c r="E15" s="9">
        <f>SUM(E10:E14)</f>
        <v>3611560</v>
      </c>
      <c r="F15" s="9">
        <f>SUM(F10:F14)</f>
        <v>7104060</v>
      </c>
      <c r="G15" s="9">
        <f>SUM(C15:F15)</f>
        <v>19279370</v>
      </c>
    </row>
  </sheetData>
  <mergeCells count="4">
    <mergeCell ref="A2:G2"/>
    <mergeCell ref="A8:B8"/>
    <mergeCell ref="A9:G9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CRM</vt:lpstr>
      <vt:lpstr>СППР</vt:lpstr>
      <vt:lpstr>QMS</vt:lpstr>
      <vt:lpstr>Мобильное приложение</vt:lpstr>
      <vt:lpstr>PLM</vt:lpstr>
      <vt:lpstr>План информатизации ИТ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Chubchenko, Mariya</dc:creator>
  <cp:lastModifiedBy>Chubchenko, Mariya</cp:lastModifiedBy>
  <dcterms:created xsi:type="dcterms:W3CDTF">2025-01-13T12:47:29Z</dcterms:created>
  <dcterms:modified xsi:type="dcterms:W3CDTF">2025-01-13T13:42:35Z</dcterms:modified>
</cp:coreProperties>
</file>