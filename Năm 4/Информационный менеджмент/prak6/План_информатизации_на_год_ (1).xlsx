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7 семестр\"/>
    </mc:Choice>
  </mc:AlternateContent>
  <xr:revisionPtr revIDLastSave="0" documentId="13_ncr:1_{F3362249-7E13-4050-983B-B7D867306919}" xr6:coauthVersionLast="47" xr6:coauthVersionMax="47" xr10:uidLastSave="{00000000-0000-0000-0000-000000000000}"/>
  <bookViews>
    <workbookView xWindow="-90" yWindow="0" windowWidth="10980" windowHeight="13770" firstSheet="4" activeTab="5" xr2:uid="{00000000-000D-0000-FFFF-FFFF00000000}"/>
  </bookViews>
  <sheets>
    <sheet name="CRM1" sheetId="2" r:id="rId1"/>
    <sheet name="СППР" sheetId="3" r:id="rId2"/>
    <sheet name="QMS" sheetId="4" r:id="rId3"/>
    <sheet name="Мобильное приложение" sheetId="5" r:id="rId4"/>
    <sheet name="PLM" sheetId="6" r:id="rId5"/>
    <sheet name="План информатизации ИТ" sheetId="7" r:id="rId6"/>
  </sheets>
  <calcPr calcId="191029"/>
  <extLst>
    <ext uri="GoogleSheetsCustomDataVersion2">
      <go:sheetsCustomData xmlns:go="http://customooxmlschemas.google.com/" r:id="rId11" roundtripDataChecksum="7AwV9i2T/IqECHYNk10jUP9/h3onvY1CJkoooMB91aE="/>
    </ext>
  </extLst>
</workbook>
</file>

<file path=xl/calcChain.xml><?xml version="1.0" encoding="utf-8"?>
<calcChain xmlns="http://schemas.openxmlformats.org/spreadsheetml/2006/main">
  <c r="D15" i="7" l="1"/>
  <c r="E15" i="7"/>
  <c r="F15" i="7"/>
  <c r="G15" i="7"/>
  <c r="E14" i="7"/>
  <c r="E12" i="7"/>
  <c r="D14" i="7"/>
  <c r="D12" i="7"/>
  <c r="D11" i="7"/>
  <c r="D10" i="7"/>
  <c r="C14" i="7"/>
  <c r="C13" i="7"/>
  <c r="C12" i="7"/>
  <c r="C11" i="7"/>
  <c r="C10" i="7"/>
  <c r="F14" i="7"/>
  <c r="F12" i="7"/>
  <c r="F11" i="7"/>
  <c r="G11" i="7"/>
  <c r="G14" i="7"/>
  <c r="G13" i="7"/>
  <c r="G12" i="7"/>
  <c r="G10" i="7"/>
  <c r="F13" i="7"/>
  <c r="F10" i="7"/>
  <c r="E13" i="7"/>
  <c r="E11" i="7"/>
  <c r="E10" i="7"/>
  <c r="D13" i="7"/>
  <c r="C15" i="7"/>
  <c r="F8" i="7"/>
  <c r="G8" i="7"/>
  <c r="E8" i="7"/>
  <c r="C8" i="7"/>
  <c r="D8" i="7"/>
  <c r="G7" i="7"/>
  <c r="G5" i="7"/>
  <c r="G4" i="7"/>
  <c r="F4" i="7"/>
  <c r="E4" i="7"/>
  <c r="D5" i="7"/>
  <c r="C3" i="7"/>
  <c r="D4" i="7"/>
  <c r="C4" i="7"/>
  <c r="G6" i="7"/>
  <c r="F6" i="7"/>
  <c r="E6" i="7"/>
  <c r="D6" i="7"/>
  <c r="C6" i="7"/>
  <c r="D3" i="7"/>
  <c r="E3" i="7"/>
  <c r="F3" i="7"/>
  <c r="G3" i="7"/>
  <c r="D15" i="4"/>
  <c r="E15" i="4"/>
  <c r="F15" i="4"/>
  <c r="G15" i="4"/>
  <c r="C15" i="4"/>
  <c r="C8" i="4"/>
  <c r="D8" i="4"/>
  <c r="E8" i="4"/>
  <c r="F8" i="4"/>
  <c r="G8" i="4"/>
  <c r="C15" i="3"/>
  <c r="G8" i="3"/>
  <c r="D15" i="3"/>
  <c r="E15" i="3"/>
  <c r="G15" i="3"/>
  <c r="D8" i="3"/>
  <c r="E8" i="3"/>
  <c r="F8" i="3"/>
  <c r="C8" i="3"/>
  <c r="D15" i="2"/>
  <c r="E15" i="2"/>
  <c r="F15" i="2"/>
  <c r="G15" i="2"/>
  <c r="C15" i="2"/>
  <c r="D8" i="2"/>
  <c r="E8" i="2"/>
  <c r="F8" i="2"/>
  <c r="G8" i="2"/>
  <c r="C8" i="2"/>
  <c r="F7" i="7"/>
  <c r="E7" i="7"/>
  <c r="D7" i="7"/>
  <c r="C7" i="7"/>
  <c r="F5" i="7"/>
  <c r="E5" i="7"/>
  <c r="C5" i="7"/>
  <c r="G15" i="6"/>
  <c r="G8" i="5"/>
  <c r="F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ID#AAABxQ0WL4o
tc={6A79BFB2-253A-414C-B274-A637EFBFA42D}    (2025-12-09 07:17:44)
[Threaded comment]
Your version of Excel allows you to read this threaded comment; however, any edits to it will get removed if the file is opened in a newer version of Excel. Learn more: https://go.microsoft.com/fwlink/?linkid=870924
Comment:
    CAPEX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0YtIR6AvxfEkoHYo9R3bRFZd0g=="/>
    </ext>
  </extLst>
</comments>
</file>

<file path=xl/sharedStrings.xml><?xml version="1.0" encoding="utf-8"?>
<sst xmlns="http://schemas.openxmlformats.org/spreadsheetml/2006/main" count="224" uniqueCount="83">
  <si>
    <t>Номер п/п</t>
  </si>
  <si>
    <t>Название статьи затрат</t>
  </si>
  <si>
    <t>1 квартал</t>
  </si>
  <si>
    <t>2 квартал</t>
  </si>
  <si>
    <t>3 квартал</t>
  </si>
  <si>
    <t>4 квартал</t>
  </si>
  <si>
    <t>Год</t>
  </si>
  <si>
    <t>CAPEX</t>
  </si>
  <si>
    <t>Оборудование</t>
  </si>
  <si>
    <t>Программное обеспечение</t>
  </si>
  <si>
    <t>ТМЦ</t>
  </si>
  <si>
    <t>Услуги сторонних организаций</t>
  </si>
  <si>
    <t>Прочее</t>
  </si>
  <si>
    <t>Итого:</t>
  </si>
  <si>
    <t>399 600 ₽</t>
  </si>
  <si>
    <t>OPEX</t>
  </si>
  <si>
    <t>15 000 ₽</t>
  </si>
  <si>
    <t>60 000 ₽</t>
  </si>
  <si>
    <t>90 000 ₽</t>
  </si>
  <si>
    <t>ТМЦ (расходники, мелкие замены)</t>
  </si>
  <si>
    <t>20 000 ₽</t>
  </si>
  <si>
    <t>120 000 ₽</t>
  </si>
  <si>
    <t>30 000 ₽</t>
  </si>
  <si>
    <t>100 000 ₽</t>
  </si>
  <si>
    <t>400 000 ₽</t>
  </si>
  <si>
    <t>1 500 000 ₽</t>
  </si>
  <si>
    <t>500 000 ₽</t>
  </si>
  <si>
    <t>2 000 000 ₽</t>
  </si>
  <si>
    <t>1 000 000 ₽</t>
  </si>
  <si>
    <t>200 000 ₽</t>
  </si>
  <si>
    <t>300 000 ₽</t>
  </si>
  <si>
    <t>2 600 000 ₽</t>
  </si>
  <si>
    <t>2 050 000 ₽</t>
  </si>
  <si>
    <t>50 000 ₽</t>
  </si>
  <si>
    <t>80 000 ₽</t>
  </si>
  <si>
    <t>320 000 ₽</t>
  </si>
  <si>
    <t>280 000 ₽</t>
  </si>
  <si>
    <t>1 120 000 ₽</t>
  </si>
  <si>
    <t>70 000 ₽</t>
  </si>
  <si>
    <t>150 000 ₽</t>
  </si>
  <si>
    <t>Программное обеспечение (QMS, интеграции с DevManager и баг-трекером)</t>
  </si>
  <si>
    <t>ТМЦ (доп. накопители, периферия, тестовое оборудование)</t>
  </si>
  <si>
    <t>Услуги сторонних организаций (внедрение, настройка, обучение)</t>
  </si>
  <si>
    <t>Прочее (документация, тестовые среды, пилотные проекты)</t>
  </si>
  <si>
    <t>Оборудование (аренда/обслуживание серверов под QMS)</t>
  </si>
  <si>
    <t>Программное обеспечение (подписки, обновления)</t>
  </si>
  <si>
    <t>40 000 ₽</t>
  </si>
  <si>
    <t>Услуги сторонних организаций (поддержка, SLA)</t>
  </si>
  <si>
    <t>Прочее (мелкие доработки, консультации)</t>
  </si>
  <si>
    <t>Оборудование (аренда/обслуживание)</t>
  </si>
  <si>
    <t>Программное обеспечение (подписки, сторы, сервисы)</t>
  </si>
  <si>
    <t>Услуги сторонних организаций (поддержка, маркетинговые интеграции, аналитика)</t>
  </si>
  <si>
    <t>Оборудование (серверы под хранение ассетов, SSD-массива)</t>
  </si>
  <si>
    <t>380 000 ₽</t>
  </si>
  <si>
    <t>250 000 ₽</t>
  </si>
  <si>
    <t>630 000 ₽</t>
  </si>
  <si>
    <t>Программное обеспечение (PLM-платформа, лицензии, интеграции с DevManager/Perforce)</t>
  </si>
  <si>
    <t>420 000 ₽</t>
  </si>
  <si>
    <t>970 000 ₽</t>
  </si>
  <si>
    <t>ТМЦ (диски, периферия, сеть)</t>
  </si>
  <si>
    <t>140 000 ₽</t>
  </si>
  <si>
    <t>Услуги сторонних организаций (внедрение пайплайнов, кастомизация)</t>
  </si>
  <si>
    <t>Прочее (документация, тестирование, обучение)</t>
  </si>
  <si>
    <t>920 000 ₽</t>
  </si>
  <si>
    <t>620 000 ₽</t>
  </si>
  <si>
    <t>270 000 ₽</t>
  </si>
  <si>
    <t>1 830 000 ₽</t>
  </si>
  <si>
    <t>Оборудование (аренда стоек, обслуживание серверов ассетов)</t>
  </si>
  <si>
    <t>600 000 ₽</t>
  </si>
  <si>
    <t>Программное обеспечение (подписки, обновления PLM)</t>
  </si>
  <si>
    <t>ТМЦ (расходные материалы, замена SSD)</t>
  </si>
  <si>
    <t>Услуги сторонних организаций (поддержка интеграций, SLA)</t>
  </si>
  <si>
    <t>Прочее (мелкие доработки и консультации pipeline-команд)</t>
  </si>
  <si>
    <t>240 000 ₽</t>
  </si>
  <si>
    <t>340 000 ₽</t>
  </si>
  <si>
    <t>1 360 000 ₽</t>
  </si>
  <si>
    <t>Наименование проекта/информационной системы</t>
  </si>
  <si>
    <t>CRM</t>
  </si>
  <si>
    <t>СППР</t>
  </si>
  <si>
    <t>QMS</t>
  </si>
  <si>
    <t>Мобильное приложение</t>
  </si>
  <si>
    <t>PLM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</si>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</sst>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₽&quot;;[Red]\-#,##0.00\ &quot;₽&quot;"/>
    <numFmt numFmtId="44" formatCode="_-* #,##0.00\ &quot;₽&quot;_-;\-* #,##0.00\ &quot;₽&quot;_-;_-* &quot;-&quot;??\ &quot;₽&quot;_-;_-@_-"/>
    <numFmt numFmtId="164" formatCode="[$р.-419]#,##0.00"/>
    <numFmt numFmtId="165" formatCode="#,##0.00\ &quot;₽&quot;"/>
    <numFmt numFmtId="166" formatCode="_-* #,##0.00\ [$₽-419]_-;\-* #,##0.00\ [$₽-419]_-;_-* &quot;-&quot;??\ [$₽-419]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1BBCC"/>
      </right>
      <top/>
      <bottom style="thin">
        <color rgb="FFB1BBCC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center"/>
    </xf>
    <xf numFmtId="165" fontId="4" fillId="0" borderId="0" xfId="0" applyNumberFormat="1" applyFont="1"/>
    <xf numFmtId="165" fontId="2" fillId="0" borderId="1" xfId="0" applyNumberFormat="1" applyFont="1" applyBorder="1" applyAlignment="1">
      <alignment wrapText="1"/>
    </xf>
    <xf numFmtId="165" fontId="2" fillId="0" borderId="1" xfId="0" applyNumberFormat="1" applyFont="1" applyBorder="1"/>
    <xf numFmtId="8" fontId="4" fillId="0" borderId="0" xfId="0" applyNumberFormat="1" applyFont="1"/>
    <xf numFmtId="8" fontId="6" fillId="0" borderId="5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3" fontId="4" fillId="0" borderId="0" xfId="0" applyNumberFormat="1" applyFont="1"/>
    <xf numFmtId="0" fontId="1" fillId="0" borderId="0" xfId="0" applyFont="1"/>
    <xf numFmtId="0" fontId="2" fillId="4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166" fontId="4" fillId="0" borderId="0" xfId="0" applyNumberFormat="1" applyFont="1"/>
    <xf numFmtId="44" fontId="4" fillId="0" borderId="0" xfId="1" applyFont="1"/>
    <xf numFmtId="44" fontId="0" fillId="0" borderId="0" xfId="1" applyFont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44" fontId="4" fillId="0" borderId="0" xfId="0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5"/>
  <sheetViews>
    <sheetView workbookViewId="0">
      <selection activeCell="G8" sqref="G8"/>
    </sheetView>
  </sheetViews>
  <sheetFormatPr defaultColWidth="14.453125" defaultRowHeight="15" customHeight="1" x14ac:dyDescent="0.35"/>
  <cols>
    <col min="2" max="2" width="28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9" t="s">
        <v>7</v>
      </c>
      <c r="B2" s="20"/>
      <c r="C2" s="20"/>
      <c r="D2" s="20"/>
      <c r="E2" s="20"/>
      <c r="F2" s="20"/>
      <c r="G2" s="21"/>
    </row>
    <row r="3" spans="1:7" x14ac:dyDescent="0.35">
      <c r="A3" s="13"/>
      <c r="B3" s="14"/>
      <c r="C3" s="14"/>
      <c r="D3" s="14"/>
      <c r="E3" s="14"/>
      <c r="F3" s="14"/>
      <c r="G3" s="15"/>
    </row>
    <row r="4" spans="1:7" x14ac:dyDescent="0.35">
      <c r="A4" s="2">
        <v>2</v>
      </c>
      <c r="B4" s="2" t="s">
        <v>9</v>
      </c>
      <c r="C4" s="16">
        <v>85000</v>
      </c>
      <c r="D4" s="16">
        <v>100000</v>
      </c>
      <c r="E4" s="16">
        <v>90000</v>
      </c>
      <c r="F4" s="16">
        <v>0</v>
      </c>
      <c r="G4" s="16">
        <v>275000</v>
      </c>
    </row>
    <row r="5" spans="1:7" x14ac:dyDescent="0.35">
      <c r="A5" s="2">
        <v>3</v>
      </c>
      <c r="B5" s="2" t="s">
        <v>10</v>
      </c>
      <c r="C5" s="16">
        <v>4000</v>
      </c>
      <c r="D5" s="16">
        <v>15000</v>
      </c>
      <c r="E5" s="16">
        <v>35000</v>
      </c>
      <c r="F5" s="16">
        <v>30000</v>
      </c>
      <c r="G5" s="16">
        <v>84000</v>
      </c>
    </row>
    <row r="6" spans="1:7" x14ac:dyDescent="0.35">
      <c r="A6" s="2">
        <v>4</v>
      </c>
      <c r="B6" s="2" t="s">
        <v>11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</row>
    <row r="7" spans="1:7" x14ac:dyDescent="0.35">
      <c r="A7" s="2">
        <v>5</v>
      </c>
      <c r="B7" s="2" t="s">
        <v>12</v>
      </c>
      <c r="C7" s="16">
        <v>15000</v>
      </c>
      <c r="D7" s="16">
        <v>35000</v>
      </c>
      <c r="E7" s="16">
        <v>10000</v>
      </c>
      <c r="F7" s="16">
        <v>0</v>
      </c>
      <c r="G7" s="16">
        <v>60000</v>
      </c>
    </row>
    <row r="8" spans="1:7" x14ac:dyDescent="0.35">
      <c r="B8" s="2" t="s">
        <v>13</v>
      </c>
      <c r="C8" s="16">
        <f>SUM(C4:C7)</f>
        <v>104000</v>
      </c>
      <c r="D8" s="16">
        <f t="shared" ref="D8:G8" si="0">SUM(D4:D7)</f>
        <v>150000</v>
      </c>
      <c r="E8" s="16">
        <f t="shared" si="0"/>
        <v>135000</v>
      </c>
      <c r="F8" s="16">
        <f t="shared" si="0"/>
        <v>30000</v>
      </c>
      <c r="G8" s="16">
        <f t="shared" si="0"/>
        <v>419000</v>
      </c>
    </row>
    <row r="9" spans="1:7" x14ac:dyDescent="0.35">
      <c r="A9" s="19" t="s">
        <v>15</v>
      </c>
      <c r="B9" s="20"/>
      <c r="C9" s="20"/>
      <c r="D9" s="20"/>
      <c r="E9" s="20"/>
      <c r="F9" s="20"/>
      <c r="G9" s="21"/>
    </row>
    <row r="10" spans="1:7" x14ac:dyDescent="0.35">
      <c r="A10" s="2">
        <v>1</v>
      </c>
      <c r="B10" s="2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</row>
    <row r="11" spans="1:7" x14ac:dyDescent="0.35">
      <c r="A11" s="2">
        <v>2</v>
      </c>
      <c r="B11" s="2" t="s">
        <v>9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</row>
    <row r="12" spans="1:7" x14ac:dyDescent="0.35">
      <c r="A12" s="2">
        <v>3</v>
      </c>
      <c r="B12" s="2" t="s">
        <v>10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</row>
    <row r="13" spans="1:7" x14ac:dyDescent="0.35">
      <c r="A13" s="2">
        <v>4</v>
      </c>
      <c r="B13" s="2" t="s">
        <v>11</v>
      </c>
      <c r="C13" s="17">
        <v>36000</v>
      </c>
      <c r="D13" s="17">
        <v>82000</v>
      </c>
      <c r="E13" s="17">
        <v>123200</v>
      </c>
      <c r="F13" s="17">
        <v>57600</v>
      </c>
      <c r="G13" s="17">
        <v>298800</v>
      </c>
    </row>
    <row r="14" spans="1:7" x14ac:dyDescent="0.35">
      <c r="A14" s="2">
        <v>5</v>
      </c>
      <c r="B14" s="2" t="s">
        <v>12</v>
      </c>
      <c r="C14" s="17">
        <v>18000</v>
      </c>
      <c r="D14" s="17">
        <v>21000</v>
      </c>
      <c r="E14" s="17">
        <v>36300</v>
      </c>
      <c r="F14" s="17">
        <v>25500</v>
      </c>
      <c r="G14" s="17">
        <v>100800</v>
      </c>
    </row>
    <row r="15" spans="1:7" x14ac:dyDescent="0.35">
      <c r="B15" s="2" t="s">
        <v>13</v>
      </c>
      <c r="C15" s="17">
        <f>SUM(C10:C14)</f>
        <v>54000</v>
      </c>
      <c r="D15" s="17">
        <f t="shared" ref="D15:G15" si="1">SUM(D10:D14)</f>
        <v>103000</v>
      </c>
      <c r="E15" s="17">
        <f t="shared" si="1"/>
        <v>159500</v>
      </c>
      <c r="F15" s="17">
        <f t="shared" si="1"/>
        <v>83100</v>
      </c>
      <c r="G15" s="17">
        <f t="shared" si="1"/>
        <v>399600</v>
      </c>
    </row>
  </sheetData>
  <mergeCells count="2">
    <mergeCell ref="A2:G2"/>
    <mergeCell ref="A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F15" sqref="F15"/>
    </sheetView>
  </sheetViews>
  <sheetFormatPr defaultColWidth="14.453125" defaultRowHeight="15" customHeight="1" x14ac:dyDescent="0.35"/>
  <cols>
    <col min="1" max="1" width="9.81640625" customWidth="1"/>
    <col min="2" max="2" width="28.453125" customWidth="1"/>
    <col min="3" max="4" width="14.08984375" customWidth="1"/>
    <col min="5" max="5" width="12.54296875" customWidth="1"/>
    <col min="6" max="6" width="13.7265625" customWidth="1"/>
    <col min="7" max="7" width="14.08984375" customWidth="1"/>
    <col min="8" max="26" width="8.7265625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4.25" customHeight="1" x14ac:dyDescent="0.35">
      <c r="A2" s="19" t="s">
        <v>7</v>
      </c>
      <c r="B2" s="20"/>
      <c r="C2" s="20"/>
      <c r="D2" s="20"/>
      <c r="E2" s="20"/>
      <c r="F2" s="20"/>
      <c r="G2" s="21"/>
    </row>
    <row r="3" spans="1:8" ht="14.25" customHeight="1" x14ac:dyDescent="0.35">
      <c r="A3" s="2">
        <v>1</v>
      </c>
      <c r="B3" s="2" t="s">
        <v>8</v>
      </c>
      <c r="C3" s="17">
        <v>1500000</v>
      </c>
      <c r="D3" s="17">
        <v>500000</v>
      </c>
      <c r="E3" s="17">
        <v>0</v>
      </c>
      <c r="F3" s="17">
        <v>0</v>
      </c>
      <c r="G3" s="17">
        <v>2000000</v>
      </c>
    </row>
    <row r="4" spans="1:8" ht="14.25" customHeight="1" x14ac:dyDescent="0.35">
      <c r="A4" s="2">
        <v>2</v>
      </c>
      <c r="B4" s="2" t="s">
        <v>9</v>
      </c>
      <c r="C4" s="17">
        <v>500000</v>
      </c>
      <c r="D4" s="17">
        <v>1000000</v>
      </c>
      <c r="E4" s="17">
        <v>0</v>
      </c>
      <c r="F4" s="17">
        <v>0</v>
      </c>
      <c r="G4" s="17">
        <v>1500000</v>
      </c>
    </row>
    <row r="5" spans="1:8" ht="14.25" customHeight="1" x14ac:dyDescent="0.35">
      <c r="A5" s="2">
        <v>3</v>
      </c>
      <c r="B5" s="2" t="s">
        <v>10</v>
      </c>
      <c r="C5" s="17">
        <v>200000</v>
      </c>
      <c r="D5" s="17">
        <v>300000</v>
      </c>
      <c r="E5" s="17">
        <v>0</v>
      </c>
      <c r="F5" s="17">
        <v>0</v>
      </c>
      <c r="G5" s="17">
        <v>500000</v>
      </c>
    </row>
    <row r="6" spans="1:8" ht="14.25" customHeight="1" x14ac:dyDescent="0.35">
      <c r="A6" s="2">
        <v>4</v>
      </c>
      <c r="B6" s="2" t="s">
        <v>11</v>
      </c>
      <c r="C6" s="17">
        <v>200000</v>
      </c>
      <c r="D6" s="17">
        <v>300000</v>
      </c>
      <c r="E6" s="17">
        <v>0</v>
      </c>
      <c r="F6" s="17">
        <v>0</v>
      </c>
      <c r="G6" s="17">
        <v>500000</v>
      </c>
    </row>
    <row r="7" spans="1:8" ht="14.25" customHeight="1" x14ac:dyDescent="0.35">
      <c r="A7" s="2">
        <v>5</v>
      </c>
      <c r="B7" s="2" t="s">
        <v>12</v>
      </c>
      <c r="C7" s="17">
        <v>200000</v>
      </c>
      <c r="D7" s="17">
        <v>0</v>
      </c>
      <c r="E7" s="17">
        <v>0</v>
      </c>
      <c r="F7" s="17">
        <v>0</v>
      </c>
      <c r="G7" s="17">
        <v>200000</v>
      </c>
    </row>
    <row r="8" spans="1:8" ht="14.25" customHeight="1" x14ac:dyDescent="0.35">
      <c r="B8" s="12" t="s">
        <v>13</v>
      </c>
      <c r="C8" s="17">
        <f>SUM(C3:C7)</f>
        <v>2600000</v>
      </c>
      <c r="D8" s="17">
        <f t="shared" ref="D8:F8" si="0">SUM(D3:D7)</f>
        <v>2100000</v>
      </c>
      <c r="E8" s="17">
        <f t="shared" si="0"/>
        <v>0</v>
      </c>
      <c r="F8" s="17">
        <f t="shared" si="0"/>
        <v>0</v>
      </c>
      <c r="G8" s="17">
        <f>SUM(G3:G7)</f>
        <v>4700000</v>
      </c>
      <c r="H8" s="2"/>
    </row>
    <row r="9" spans="1:8" ht="14.25" customHeight="1" x14ac:dyDescent="0.35">
      <c r="A9" s="19" t="s">
        <v>15</v>
      </c>
      <c r="B9" s="20"/>
      <c r="C9" s="20"/>
      <c r="D9" s="20"/>
      <c r="E9" s="20"/>
      <c r="F9" s="20"/>
      <c r="G9" s="21"/>
    </row>
    <row r="10" spans="1:8" ht="14.25" customHeight="1" x14ac:dyDescent="0.35">
      <c r="A10" s="2">
        <v>1</v>
      </c>
      <c r="B10" s="2" t="s">
        <v>8</v>
      </c>
      <c r="C10" s="17">
        <v>50000</v>
      </c>
      <c r="D10" s="17">
        <v>50000</v>
      </c>
      <c r="E10" s="17">
        <v>50000</v>
      </c>
      <c r="F10" s="17">
        <v>50000</v>
      </c>
      <c r="G10" s="17">
        <v>200000</v>
      </c>
    </row>
    <row r="11" spans="1:8" ht="14.25" customHeight="1" x14ac:dyDescent="0.35">
      <c r="A11" s="2">
        <v>2</v>
      </c>
      <c r="B11" s="2" t="s">
        <v>9</v>
      </c>
      <c r="C11" s="17">
        <v>80000</v>
      </c>
      <c r="D11" s="17">
        <v>80000</v>
      </c>
      <c r="E11" s="17">
        <v>80000</v>
      </c>
      <c r="F11" s="17">
        <v>80000</v>
      </c>
      <c r="G11" s="17">
        <v>320000</v>
      </c>
    </row>
    <row r="12" spans="1:8" ht="14.25" customHeight="1" x14ac:dyDescent="0.35">
      <c r="A12" s="2">
        <v>3</v>
      </c>
      <c r="B12" s="2" t="s">
        <v>10</v>
      </c>
      <c r="C12" s="17">
        <v>30000</v>
      </c>
      <c r="D12" s="17">
        <v>30000</v>
      </c>
      <c r="E12" s="17">
        <v>30000</v>
      </c>
      <c r="F12" s="17">
        <v>30000</v>
      </c>
      <c r="G12" s="17">
        <v>120000</v>
      </c>
    </row>
    <row r="13" spans="1:8" ht="14.25" customHeight="1" x14ac:dyDescent="0.35">
      <c r="A13" s="2">
        <v>4</v>
      </c>
      <c r="B13" s="2" t="s">
        <v>11</v>
      </c>
      <c r="C13" s="17">
        <v>100000</v>
      </c>
      <c r="D13" s="17">
        <v>100000</v>
      </c>
      <c r="E13" s="17">
        <v>100000</v>
      </c>
      <c r="F13" s="17">
        <v>10000</v>
      </c>
      <c r="G13" s="17">
        <v>400000</v>
      </c>
    </row>
    <row r="14" spans="1:8" ht="14.25" customHeight="1" x14ac:dyDescent="0.35">
      <c r="A14" s="2">
        <v>5</v>
      </c>
      <c r="B14" s="2" t="s">
        <v>12</v>
      </c>
      <c r="C14" s="17">
        <v>20000</v>
      </c>
      <c r="D14" s="17">
        <v>20000</v>
      </c>
      <c r="E14" s="17">
        <v>20000</v>
      </c>
      <c r="F14" s="17">
        <v>20000</v>
      </c>
      <c r="G14" s="17">
        <v>80000</v>
      </c>
    </row>
    <row r="15" spans="1:8" ht="14.25" customHeight="1" x14ac:dyDescent="0.35">
      <c r="B15" s="12" t="s">
        <v>13</v>
      </c>
      <c r="C15" s="17">
        <f>SUM(C10:C14)</f>
        <v>280000</v>
      </c>
      <c r="D15" s="17">
        <f>SUM(C10:C14)</f>
        <v>280000</v>
      </c>
      <c r="E15" s="17">
        <f>SUM(D10:D14)</f>
        <v>280000</v>
      </c>
      <c r="F15" s="18">
        <v>190000</v>
      </c>
      <c r="G15" s="17">
        <f>SUM(F10:F14)</f>
        <v>190000</v>
      </c>
      <c r="H15" s="11"/>
    </row>
    <row r="16" spans="1:8" ht="14.25" customHeight="1" x14ac:dyDescent="0.35">
      <c r="C16" s="12" t="s">
        <v>82</v>
      </c>
    </row>
    <row r="17" spans="1:7" ht="14.25" customHeight="1" x14ac:dyDescent="0.35"/>
    <row r="18" spans="1:7" ht="14.25" customHeight="1" x14ac:dyDescent="0.35">
      <c r="A18" s="4"/>
      <c r="B18" s="4"/>
      <c r="C18" s="4"/>
      <c r="D18" s="4"/>
      <c r="E18" s="4"/>
      <c r="F18" s="4"/>
      <c r="G18" s="4"/>
    </row>
    <row r="19" spans="1:7" ht="14.25" customHeight="1" x14ac:dyDescent="0.35"/>
    <row r="20" spans="1:7" ht="14.25" customHeight="1" x14ac:dyDescent="0.35"/>
    <row r="21" spans="1:7" ht="14.25" customHeight="1" x14ac:dyDescent="0.35"/>
    <row r="22" spans="1:7" ht="14.25" customHeight="1" x14ac:dyDescent="0.35"/>
    <row r="23" spans="1:7" ht="14.25" customHeight="1" x14ac:dyDescent="0.35"/>
    <row r="24" spans="1:7" ht="14.25" customHeight="1" x14ac:dyDescent="0.35"/>
    <row r="25" spans="1:7" ht="14.25" customHeight="1" x14ac:dyDescent="0.35">
      <c r="A25" s="4"/>
      <c r="B25" s="4"/>
      <c r="C25" s="4"/>
      <c r="D25" s="4"/>
      <c r="E25" s="4"/>
      <c r="F25" s="4"/>
      <c r="G25" s="4"/>
    </row>
    <row r="26" spans="1:7" ht="14.25" customHeight="1" x14ac:dyDescent="0.35"/>
    <row r="27" spans="1:7" ht="14.25" customHeight="1" x14ac:dyDescent="0.35"/>
    <row r="28" spans="1:7" ht="14.25" customHeight="1" x14ac:dyDescent="0.35"/>
    <row r="29" spans="1:7" ht="14.25" customHeight="1" x14ac:dyDescent="0.35"/>
    <row r="30" spans="1:7" ht="14.25" customHeight="1" x14ac:dyDescent="0.35"/>
    <row r="31" spans="1:7" ht="14.25" customHeight="1" x14ac:dyDescent="0.35"/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2:G2"/>
    <mergeCell ref="A9:G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C15" sqref="C15:G15"/>
    </sheetView>
  </sheetViews>
  <sheetFormatPr defaultColWidth="14.453125" defaultRowHeight="15" customHeight="1" x14ac:dyDescent="0.35"/>
  <cols>
    <col min="1" max="1" width="14.81640625" customWidth="1"/>
    <col min="2" max="2" width="29" customWidth="1"/>
    <col min="3" max="4" width="15.54296875" customWidth="1"/>
    <col min="5" max="6" width="13.81640625" customWidth="1"/>
    <col min="7" max="7" width="15.54296875" customWidth="1"/>
    <col min="8" max="26" width="8.7265625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4.25" customHeight="1" x14ac:dyDescent="0.35">
      <c r="A2" s="19" t="s">
        <v>7</v>
      </c>
      <c r="B2" s="20"/>
      <c r="C2" s="20"/>
      <c r="D2" s="20"/>
      <c r="E2" s="20"/>
      <c r="F2" s="20"/>
      <c r="G2" s="21"/>
    </row>
    <row r="3" spans="1:8" ht="14.25" customHeight="1" x14ac:dyDescent="0.35">
      <c r="A3" s="2">
        <v>1</v>
      </c>
      <c r="B3" s="2" t="s">
        <v>8</v>
      </c>
      <c r="C3" s="5">
        <v>80000</v>
      </c>
      <c r="D3" s="5">
        <v>70000</v>
      </c>
      <c r="E3" s="5">
        <v>0</v>
      </c>
      <c r="F3" s="5">
        <v>0</v>
      </c>
      <c r="G3" s="5">
        <v>150000</v>
      </c>
    </row>
    <row r="4" spans="1:8" ht="14.25" customHeight="1" x14ac:dyDescent="0.35">
      <c r="A4" s="2">
        <v>2</v>
      </c>
      <c r="B4" s="2" t="s">
        <v>40</v>
      </c>
      <c r="C4" s="5">
        <v>120000</v>
      </c>
      <c r="D4" s="5">
        <v>120000</v>
      </c>
      <c r="E4" s="5" t="s">
        <v>17</v>
      </c>
      <c r="F4" s="5">
        <v>0</v>
      </c>
      <c r="G4" s="5">
        <v>300000</v>
      </c>
    </row>
    <row r="5" spans="1:8" ht="14.25" customHeight="1" x14ac:dyDescent="0.35">
      <c r="A5" s="2">
        <v>3</v>
      </c>
      <c r="B5" s="2" t="s">
        <v>41</v>
      </c>
      <c r="C5" s="5">
        <v>20000</v>
      </c>
      <c r="D5" s="5">
        <v>15000</v>
      </c>
      <c r="E5" s="5" t="s">
        <v>16</v>
      </c>
      <c r="F5" s="5">
        <v>0</v>
      </c>
      <c r="G5" s="5">
        <v>50000</v>
      </c>
    </row>
    <row r="6" spans="1:8" ht="14.25" customHeight="1" x14ac:dyDescent="0.35">
      <c r="A6" s="2">
        <v>4</v>
      </c>
      <c r="B6" s="2" t="s">
        <v>42</v>
      </c>
      <c r="C6" s="5">
        <v>60000</v>
      </c>
      <c r="D6" s="5">
        <v>60000</v>
      </c>
      <c r="E6" s="5" t="s">
        <v>22</v>
      </c>
      <c r="F6" s="5">
        <v>0</v>
      </c>
      <c r="G6" s="5">
        <v>150000</v>
      </c>
    </row>
    <row r="7" spans="1:8" ht="14.25" customHeight="1" x14ac:dyDescent="0.35">
      <c r="A7" s="2">
        <v>5</v>
      </c>
      <c r="B7" s="2" t="s">
        <v>43</v>
      </c>
      <c r="C7" s="5">
        <v>10000</v>
      </c>
      <c r="D7" s="5">
        <v>10000</v>
      </c>
      <c r="E7" s="5">
        <v>0</v>
      </c>
      <c r="F7" s="5">
        <v>0</v>
      </c>
      <c r="G7" s="5">
        <v>20000</v>
      </c>
    </row>
    <row r="8" spans="1:8" ht="14.25" customHeight="1" x14ac:dyDescent="0.35">
      <c r="B8" s="12" t="s">
        <v>13</v>
      </c>
      <c r="C8" s="16">
        <f>SUM(C3:C7)</f>
        <v>290000</v>
      </c>
      <c r="D8" s="16">
        <f t="shared" ref="D8:G8" si="0">SUM(D3:D7)</f>
        <v>275000</v>
      </c>
      <c r="E8" s="16">
        <f t="shared" si="0"/>
        <v>0</v>
      </c>
      <c r="F8" s="16">
        <f t="shared" si="0"/>
        <v>0</v>
      </c>
      <c r="G8" s="16">
        <f t="shared" si="0"/>
        <v>670000</v>
      </c>
      <c r="H8" s="5"/>
    </row>
    <row r="9" spans="1:8" ht="14.25" customHeight="1" x14ac:dyDescent="0.35">
      <c r="A9" s="19" t="s">
        <v>15</v>
      </c>
      <c r="B9" s="20"/>
      <c r="C9" s="20"/>
      <c r="D9" s="20"/>
      <c r="E9" s="20"/>
      <c r="F9" s="20"/>
      <c r="G9" s="21"/>
    </row>
    <row r="10" spans="1:8" ht="14.25" customHeight="1" x14ac:dyDescent="0.35">
      <c r="A10" s="2">
        <v>1</v>
      </c>
      <c r="B10" s="2" t="s">
        <v>44</v>
      </c>
      <c r="C10" s="5">
        <v>20000</v>
      </c>
      <c r="D10" s="5">
        <v>20000</v>
      </c>
      <c r="E10" s="5">
        <v>20000</v>
      </c>
      <c r="F10" s="5">
        <v>20000</v>
      </c>
      <c r="G10" s="5">
        <v>80000</v>
      </c>
    </row>
    <row r="11" spans="1:8" ht="14.25" customHeight="1" x14ac:dyDescent="0.35">
      <c r="A11" s="2">
        <v>2</v>
      </c>
      <c r="B11" s="2" t="s">
        <v>45</v>
      </c>
      <c r="C11" s="5">
        <v>40000</v>
      </c>
      <c r="D11" s="5">
        <v>40000</v>
      </c>
      <c r="E11" s="5">
        <v>40000</v>
      </c>
      <c r="F11" s="5">
        <v>40000</v>
      </c>
      <c r="G11" s="5">
        <v>160000</v>
      </c>
    </row>
    <row r="12" spans="1:8" ht="14.25" customHeight="1" x14ac:dyDescent="0.35">
      <c r="A12" s="2">
        <v>3</v>
      </c>
      <c r="B12" s="2" t="s">
        <v>19</v>
      </c>
      <c r="C12" s="5">
        <v>5000</v>
      </c>
      <c r="D12" s="5">
        <v>5000</v>
      </c>
      <c r="E12" s="5">
        <v>5000</v>
      </c>
      <c r="F12" s="5">
        <v>5000</v>
      </c>
      <c r="G12" s="5">
        <v>20000</v>
      </c>
    </row>
    <row r="13" spans="1:8" ht="14.25" customHeight="1" x14ac:dyDescent="0.35">
      <c r="A13" s="2">
        <v>4</v>
      </c>
      <c r="B13" s="2" t="s">
        <v>47</v>
      </c>
      <c r="C13" s="5">
        <v>20000</v>
      </c>
      <c r="D13" s="5">
        <v>20000</v>
      </c>
      <c r="E13" s="5">
        <v>20000</v>
      </c>
      <c r="F13" s="5">
        <v>20000</v>
      </c>
      <c r="G13" s="5">
        <v>80000</v>
      </c>
    </row>
    <row r="14" spans="1:8" ht="14.25" customHeight="1" x14ac:dyDescent="0.35">
      <c r="A14" s="2">
        <v>5</v>
      </c>
      <c r="B14" s="2" t="s">
        <v>48</v>
      </c>
      <c r="C14" s="5">
        <v>5000</v>
      </c>
      <c r="D14" s="5">
        <v>5000</v>
      </c>
      <c r="E14" s="5">
        <v>5000</v>
      </c>
      <c r="F14" s="5">
        <v>5000</v>
      </c>
      <c r="G14" s="5">
        <v>20000</v>
      </c>
    </row>
    <row r="15" spans="1:8" ht="14.25" customHeight="1" x14ac:dyDescent="0.35">
      <c r="B15" s="2" t="s">
        <v>13</v>
      </c>
      <c r="C15" s="17">
        <f>SUM(C10:C14)</f>
        <v>90000</v>
      </c>
      <c r="D15" s="17">
        <f t="shared" ref="D15:G15" si="1">SUM(D10:D14)</f>
        <v>90000</v>
      </c>
      <c r="E15" s="17">
        <f t="shared" si="1"/>
        <v>90000</v>
      </c>
      <c r="F15" s="17">
        <f t="shared" si="1"/>
        <v>90000</v>
      </c>
      <c r="G15" s="17">
        <f t="shared" si="1"/>
        <v>360000</v>
      </c>
      <c r="H15" s="6"/>
    </row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2:G2"/>
    <mergeCell ref="A9:G9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C12" sqref="C12"/>
    </sheetView>
  </sheetViews>
  <sheetFormatPr defaultColWidth="14.453125" defaultRowHeight="15" customHeight="1" x14ac:dyDescent="0.35"/>
  <cols>
    <col min="1" max="1" width="9.81640625" customWidth="1"/>
    <col min="2" max="2" width="28.453125" customWidth="1"/>
    <col min="3" max="3" width="15.54296875" customWidth="1"/>
    <col min="4" max="4" width="14.54296875" customWidth="1"/>
    <col min="5" max="5" width="14.453125" customWidth="1"/>
    <col min="6" max="6" width="14.81640625" customWidth="1"/>
    <col min="7" max="7" width="17.08984375" customWidth="1"/>
    <col min="8" max="26" width="8.7265625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4.25" customHeight="1" x14ac:dyDescent="0.35">
      <c r="A2" s="19" t="s">
        <v>7</v>
      </c>
      <c r="B2" s="20"/>
      <c r="C2" s="20"/>
      <c r="D2" s="20"/>
      <c r="E2" s="20"/>
      <c r="F2" s="20"/>
      <c r="G2" s="21"/>
    </row>
    <row r="3" spans="1:8" ht="14.25" customHeight="1" x14ac:dyDescent="0.35">
      <c r="A3" s="2">
        <v>1</v>
      </c>
      <c r="B3" s="2" t="s">
        <v>8</v>
      </c>
      <c r="C3" s="5">
        <v>1500000</v>
      </c>
      <c r="D3" s="5" t="s">
        <v>26</v>
      </c>
      <c r="E3" s="5">
        <v>0</v>
      </c>
      <c r="F3" s="5">
        <v>0</v>
      </c>
      <c r="G3" s="5" t="s">
        <v>27</v>
      </c>
    </row>
    <row r="4" spans="1:8" ht="14.25" customHeight="1" x14ac:dyDescent="0.35">
      <c r="A4" s="2">
        <v>2</v>
      </c>
      <c r="B4" s="2" t="s">
        <v>9</v>
      </c>
      <c r="C4" s="5">
        <v>500000</v>
      </c>
      <c r="D4" s="5" t="s">
        <v>28</v>
      </c>
      <c r="E4" s="5">
        <v>0</v>
      </c>
      <c r="F4" s="5">
        <v>0</v>
      </c>
      <c r="G4" s="5" t="s">
        <v>25</v>
      </c>
    </row>
    <row r="5" spans="1:8" ht="14.25" customHeight="1" x14ac:dyDescent="0.35">
      <c r="A5" s="2">
        <v>3</v>
      </c>
      <c r="B5" s="2" t="s">
        <v>10</v>
      </c>
      <c r="C5" s="5" t="s">
        <v>30</v>
      </c>
      <c r="D5" s="5" t="s">
        <v>29</v>
      </c>
      <c r="E5" s="5">
        <v>0</v>
      </c>
      <c r="F5" s="5">
        <v>0</v>
      </c>
      <c r="G5" s="5" t="s">
        <v>26</v>
      </c>
    </row>
    <row r="6" spans="1:8" ht="14.25" customHeight="1" x14ac:dyDescent="0.35">
      <c r="A6" s="2">
        <v>4</v>
      </c>
      <c r="B6" s="2" t="s">
        <v>11</v>
      </c>
      <c r="C6" s="5" t="s">
        <v>29</v>
      </c>
      <c r="D6" s="5" t="s">
        <v>30</v>
      </c>
      <c r="E6" s="5">
        <v>0</v>
      </c>
      <c r="F6" s="5">
        <v>0</v>
      </c>
      <c r="G6" s="5" t="s">
        <v>26</v>
      </c>
    </row>
    <row r="7" spans="1:8" ht="14.25" customHeight="1" x14ac:dyDescent="0.35">
      <c r="A7" s="2">
        <v>5</v>
      </c>
      <c r="B7" s="2" t="s">
        <v>12</v>
      </c>
      <c r="C7" s="5" t="s">
        <v>23</v>
      </c>
      <c r="D7" s="5">
        <v>0</v>
      </c>
      <c r="E7" s="5">
        <v>0</v>
      </c>
      <c r="F7" s="5">
        <v>0</v>
      </c>
      <c r="G7" s="5" t="s">
        <v>23</v>
      </c>
    </row>
    <row r="8" spans="1:8" ht="14.25" customHeight="1" x14ac:dyDescent="0.35">
      <c r="A8" s="2" t="s">
        <v>13</v>
      </c>
      <c r="B8" s="2" t="s">
        <v>31</v>
      </c>
      <c r="C8" s="5" t="s">
        <v>32</v>
      </c>
      <c r="D8" s="5">
        <v>0</v>
      </c>
      <c r="E8" s="5">
        <v>0</v>
      </c>
      <c r="F8" s="5">
        <f t="shared" ref="F8:G8" si="0">SUM(F3:F7)</f>
        <v>0</v>
      </c>
      <c r="G8" s="5">
        <f t="shared" si="0"/>
        <v>0</v>
      </c>
    </row>
    <row r="9" spans="1:8" ht="14.25" customHeight="1" x14ac:dyDescent="0.35">
      <c r="A9" s="19" t="s">
        <v>15</v>
      </c>
      <c r="B9" s="20"/>
      <c r="C9" s="20"/>
      <c r="D9" s="20"/>
      <c r="E9" s="20"/>
      <c r="F9" s="20"/>
      <c r="G9" s="21"/>
    </row>
    <row r="10" spans="1:8" ht="14.25" customHeight="1" x14ac:dyDescent="0.35">
      <c r="A10" s="2">
        <v>1</v>
      </c>
      <c r="B10" s="2" t="s">
        <v>49</v>
      </c>
      <c r="C10" s="5" t="s">
        <v>33</v>
      </c>
      <c r="D10" s="5" t="s">
        <v>33</v>
      </c>
      <c r="E10" s="5" t="s">
        <v>33</v>
      </c>
      <c r="F10" s="5" t="s">
        <v>33</v>
      </c>
      <c r="G10" s="5" t="s">
        <v>29</v>
      </c>
    </row>
    <row r="11" spans="1:8" ht="14.25" customHeight="1" x14ac:dyDescent="0.35">
      <c r="A11" s="2">
        <v>2</v>
      </c>
      <c r="B11" s="2" t="s">
        <v>50</v>
      </c>
      <c r="C11" s="5" t="s">
        <v>34</v>
      </c>
      <c r="D11" s="5" t="s">
        <v>34</v>
      </c>
      <c r="E11" s="5" t="s">
        <v>34</v>
      </c>
      <c r="F11" s="5" t="s">
        <v>34</v>
      </c>
      <c r="G11" s="5" t="s">
        <v>35</v>
      </c>
    </row>
    <row r="12" spans="1:8" ht="14.25" customHeight="1" x14ac:dyDescent="0.35">
      <c r="A12" s="2">
        <v>3</v>
      </c>
      <c r="B12" s="2" t="s">
        <v>10</v>
      </c>
      <c r="C12" s="5" t="s">
        <v>22</v>
      </c>
      <c r="D12" s="5" t="s">
        <v>22</v>
      </c>
      <c r="E12" s="5" t="s">
        <v>22</v>
      </c>
      <c r="F12" s="5" t="s">
        <v>22</v>
      </c>
      <c r="G12" s="5" t="s">
        <v>21</v>
      </c>
    </row>
    <row r="13" spans="1:8" ht="14.25" customHeight="1" x14ac:dyDescent="0.35">
      <c r="A13" s="2">
        <v>4</v>
      </c>
      <c r="B13" s="2" t="s">
        <v>51</v>
      </c>
      <c r="C13" s="5" t="s">
        <v>23</v>
      </c>
      <c r="D13" s="5" t="s">
        <v>23</v>
      </c>
      <c r="E13" s="5" t="s">
        <v>23</v>
      </c>
      <c r="F13" s="5" t="s">
        <v>23</v>
      </c>
      <c r="G13" s="5" t="s">
        <v>24</v>
      </c>
    </row>
    <row r="14" spans="1:8" ht="14.25" customHeight="1" x14ac:dyDescent="0.35">
      <c r="A14" s="2">
        <v>5</v>
      </c>
      <c r="B14" s="2" t="s">
        <v>12</v>
      </c>
      <c r="C14" s="5" t="s">
        <v>20</v>
      </c>
      <c r="D14" s="5" t="s">
        <v>20</v>
      </c>
      <c r="E14" s="5" t="s">
        <v>20</v>
      </c>
      <c r="F14" s="5" t="s">
        <v>20</v>
      </c>
      <c r="G14" s="5" t="s">
        <v>34</v>
      </c>
    </row>
    <row r="15" spans="1:8" ht="14.25" customHeight="1" x14ac:dyDescent="0.35">
      <c r="A15" s="2" t="s">
        <v>13</v>
      </c>
      <c r="B15" s="2" t="s">
        <v>36</v>
      </c>
      <c r="C15" s="2" t="s">
        <v>36</v>
      </c>
      <c r="D15" s="5" t="s">
        <v>36</v>
      </c>
      <c r="E15" s="5" t="s">
        <v>36</v>
      </c>
      <c r="F15" s="5" t="s">
        <v>37</v>
      </c>
      <c r="G15" s="5" t="s">
        <v>14</v>
      </c>
      <c r="H15" s="7"/>
    </row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2:G2"/>
    <mergeCell ref="A9:G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defaultColWidth="14.453125" defaultRowHeight="15" customHeight="1" x14ac:dyDescent="0.35"/>
  <cols>
    <col min="1" max="1" width="9.81640625" customWidth="1"/>
    <col min="2" max="2" width="33.81640625" customWidth="1"/>
    <col min="3" max="3" width="12.81640625" customWidth="1"/>
    <col min="4" max="4" width="17" customWidth="1"/>
    <col min="5" max="5" width="15.54296875" customWidth="1"/>
    <col min="6" max="6" width="16.453125" customWidth="1"/>
    <col min="7" max="7" width="16.54296875" customWidth="1"/>
    <col min="8" max="26" width="8.72656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5">
      <c r="A2" s="19" t="s">
        <v>7</v>
      </c>
      <c r="B2" s="20"/>
      <c r="C2" s="20"/>
      <c r="D2" s="20"/>
      <c r="E2" s="20"/>
      <c r="F2" s="20"/>
      <c r="G2" s="21"/>
    </row>
    <row r="3" spans="1:7" ht="14.25" customHeight="1" x14ac:dyDescent="0.35">
      <c r="A3" s="2">
        <v>1</v>
      </c>
      <c r="B3" s="2" t="s">
        <v>52</v>
      </c>
      <c r="C3" s="5" t="s">
        <v>53</v>
      </c>
      <c r="D3" s="5" t="s">
        <v>54</v>
      </c>
      <c r="E3" s="8">
        <v>0</v>
      </c>
      <c r="F3" s="8">
        <v>0</v>
      </c>
      <c r="G3" s="8" t="s">
        <v>55</v>
      </c>
    </row>
    <row r="4" spans="1:7" ht="14.25" customHeight="1" x14ac:dyDescent="0.35">
      <c r="A4" s="2">
        <v>2</v>
      </c>
      <c r="B4" s="2" t="s">
        <v>56</v>
      </c>
      <c r="C4" s="5" t="s">
        <v>57</v>
      </c>
      <c r="D4" s="5" t="s">
        <v>30</v>
      </c>
      <c r="E4" s="8" t="s">
        <v>54</v>
      </c>
      <c r="F4" s="8">
        <v>0</v>
      </c>
      <c r="G4" s="8" t="s">
        <v>58</v>
      </c>
    </row>
    <row r="5" spans="1:7" ht="14.25" customHeight="1" x14ac:dyDescent="0.35">
      <c r="A5" s="2">
        <v>3</v>
      </c>
      <c r="B5" s="2" t="s">
        <v>59</v>
      </c>
      <c r="C5" s="5" t="s">
        <v>38</v>
      </c>
      <c r="D5" s="5" t="s">
        <v>22</v>
      </c>
      <c r="E5" s="8" t="s">
        <v>20</v>
      </c>
      <c r="F5" s="8" t="s">
        <v>20</v>
      </c>
      <c r="G5" s="8" t="s">
        <v>60</v>
      </c>
    </row>
    <row r="6" spans="1:7" ht="14.25" customHeight="1" x14ac:dyDescent="0.35">
      <c r="A6" s="2">
        <v>4</v>
      </c>
      <c r="B6" s="2" t="s">
        <v>61</v>
      </c>
      <c r="C6" s="5" t="s">
        <v>33</v>
      </c>
      <c r="D6" s="5" t="s">
        <v>46</v>
      </c>
      <c r="E6" s="8">
        <v>0</v>
      </c>
      <c r="F6" s="8">
        <v>0</v>
      </c>
      <c r="G6" s="8" t="s">
        <v>18</v>
      </c>
    </row>
    <row r="7" spans="1:7" ht="14.25" customHeight="1" x14ac:dyDescent="0.35">
      <c r="A7" s="2">
        <v>5</v>
      </c>
      <c r="B7" s="2" t="s">
        <v>62</v>
      </c>
      <c r="C7" s="5">
        <v>0</v>
      </c>
      <c r="D7" s="5">
        <v>0</v>
      </c>
      <c r="E7" s="8">
        <v>0</v>
      </c>
      <c r="F7" s="8">
        <v>0</v>
      </c>
      <c r="G7" s="8">
        <v>0</v>
      </c>
    </row>
    <row r="8" spans="1:7" ht="14.25" customHeight="1" x14ac:dyDescent="0.35">
      <c r="A8" s="2" t="s">
        <v>13</v>
      </c>
      <c r="B8" s="2" t="s">
        <v>63</v>
      </c>
      <c r="C8" s="5" t="s">
        <v>64</v>
      </c>
      <c r="D8" s="5" t="s">
        <v>65</v>
      </c>
      <c r="E8" s="8" t="s">
        <v>20</v>
      </c>
      <c r="F8" s="8" t="s">
        <v>66</v>
      </c>
      <c r="G8" s="9">
        <v>1830000</v>
      </c>
    </row>
    <row r="9" spans="1:7" ht="14.25" customHeight="1" x14ac:dyDescent="0.35">
      <c r="A9" s="19" t="s">
        <v>15</v>
      </c>
      <c r="B9" s="20"/>
      <c r="C9" s="20"/>
      <c r="D9" s="20"/>
      <c r="E9" s="20"/>
      <c r="F9" s="20"/>
      <c r="G9" s="21"/>
    </row>
    <row r="10" spans="1:7" ht="14.25" customHeight="1" x14ac:dyDescent="0.35">
      <c r="A10" s="2">
        <v>1</v>
      </c>
      <c r="B10" s="2" t="s">
        <v>67</v>
      </c>
      <c r="C10" s="5" t="s">
        <v>39</v>
      </c>
      <c r="D10" s="5" t="s">
        <v>39</v>
      </c>
      <c r="E10" s="8" t="s">
        <v>39</v>
      </c>
      <c r="F10" s="8" t="s">
        <v>39</v>
      </c>
      <c r="G10" s="8" t="s">
        <v>68</v>
      </c>
    </row>
    <row r="11" spans="1:7" ht="14.25" customHeight="1" x14ac:dyDescent="0.35">
      <c r="A11" s="2">
        <v>2</v>
      </c>
      <c r="B11" s="2" t="s">
        <v>69</v>
      </c>
      <c r="C11" s="5" t="s">
        <v>33</v>
      </c>
      <c r="D11" s="5" t="s">
        <v>33</v>
      </c>
      <c r="E11" s="8" t="s">
        <v>33</v>
      </c>
      <c r="F11" s="8" t="s">
        <v>33</v>
      </c>
      <c r="G11" s="8" t="s">
        <v>29</v>
      </c>
    </row>
    <row r="12" spans="1:7" ht="14.25" customHeight="1" x14ac:dyDescent="0.35">
      <c r="A12" s="2">
        <v>3</v>
      </c>
      <c r="B12" s="2" t="s">
        <v>70</v>
      </c>
      <c r="C12" s="5" t="s">
        <v>22</v>
      </c>
      <c r="D12" s="5" t="s">
        <v>22</v>
      </c>
      <c r="E12" s="8" t="s">
        <v>22</v>
      </c>
      <c r="F12" s="8" t="s">
        <v>22</v>
      </c>
      <c r="G12" s="8" t="s">
        <v>21</v>
      </c>
    </row>
    <row r="13" spans="1:7" ht="14.25" customHeight="1" x14ac:dyDescent="0.35">
      <c r="A13" s="2">
        <v>4</v>
      </c>
      <c r="B13" s="2" t="s">
        <v>71</v>
      </c>
      <c r="C13" s="5" t="s">
        <v>33</v>
      </c>
      <c r="D13" s="5" t="s">
        <v>33</v>
      </c>
      <c r="E13" s="8" t="s">
        <v>33</v>
      </c>
      <c r="F13" s="8" t="s">
        <v>33</v>
      </c>
      <c r="G13" s="8" t="s">
        <v>29</v>
      </c>
    </row>
    <row r="14" spans="1:7" ht="14.25" customHeight="1" x14ac:dyDescent="0.35">
      <c r="A14" s="2">
        <v>5</v>
      </c>
      <c r="B14" s="2" t="s">
        <v>72</v>
      </c>
      <c r="C14" s="5" t="s">
        <v>17</v>
      </c>
      <c r="D14" s="5" t="s">
        <v>17</v>
      </c>
      <c r="E14" s="8" t="s">
        <v>17</v>
      </c>
      <c r="F14" s="8" t="s">
        <v>17</v>
      </c>
      <c r="G14" s="8" t="s">
        <v>73</v>
      </c>
    </row>
    <row r="15" spans="1:7" ht="14.25" customHeight="1" x14ac:dyDescent="0.35">
      <c r="A15" s="2" t="s">
        <v>13</v>
      </c>
      <c r="B15" s="2" t="s">
        <v>74</v>
      </c>
      <c r="C15" s="5" t="s">
        <v>74</v>
      </c>
      <c r="D15" s="5" t="s">
        <v>74</v>
      </c>
      <c r="E15" s="8" t="s">
        <v>74</v>
      </c>
      <c r="F15" s="8" t="s">
        <v>75</v>
      </c>
      <c r="G15" s="10">
        <f>SUM(G10:G14)</f>
        <v>0</v>
      </c>
    </row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2:G2"/>
    <mergeCell ref="A9:G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abSelected="1" topLeftCell="C1" workbookViewId="0">
      <selection activeCell="G15" sqref="G15"/>
    </sheetView>
  </sheetViews>
  <sheetFormatPr defaultColWidth="14.453125" defaultRowHeight="15" customHeight="1" x14ac:dyDescent="0.35"/>
  <cols>
    <col min="1" max="1" width="9.81640625" customWidth="1"/>
    <col min="2" max="2" width="57.81640625" customWidth="1"/>
    <col min="3" max="3" width="16.7265625" customWidth="1"/>
    <col min="4" max="4" width="13.453125" customWidth="1"/>
    <col min="5" max="5" width="15.08984375" customWidth="1"/>
    <col min="6" max="6" width="16.453125" customWidth="1"/>
    <col min="7" max="7" width="25.81640625" customWidth="1"/>
    <col min="8" max="26" width="8.7265625" customWidth="1"/>
  </cols>
  <sheetData>
    <row r="1" spans="1:7" ht="14.25" customHeight="1" x14ac:dyDescent="0.35">
      <c r="A1" s="1" t="s">
        <v>0</v>
      </c>
      <c r="B1" s="1" t="s">
        <v>76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5">
      <c r="A2" s="19" t="s">
        <v>7</v>
      </c>
      <c r="B2" s="20"/>
      <c r="C2" s="20"/>
      <c r="D2" s="20"/>
      <c r="E2" s="20"/>
      <c r="F2" s="20"/>
      <c r="G2" s="21"/>
    </row>
    <row r="3" spans="1:7" ht="14.25" customHeight="1" x14ac:dyDescent="0.35">
      <c r="A3" s="2">
        <v>1</v>
      </c>
      <c r="B3" s="2" t="s">
        <v>77</v>
      </c>
      <c r="C3" s="16">
        <f>'CRM1'!C10</f>
        <v>0</v>
      </c>
      <c r="D3" s="16">
        <f>'CRM1'!D10</f>
        <v>0</v>
      </c>
      <c r="E3" s="16">
        <f>'CRM1'!E10</f>
        <v>0</v>
      </c>
      <c r="F3" s="16">
        <f>'CRM1'!F10</f>
        <v>0</v>
      </c>
      <c r="G3" s="16">
        <f>'CRM1'!G10</f>
        <v>0</v>
      </c>
    </row>
    <row r="4" spans="1:7" ht="14.25" customHeight="1" x14ac:dyDescent="0.35">
      <c r="A4" s="2">
        <v>2</v>
      </c>
      <c r="B4" s="2" t="s">
        <v>78</v>
      </c>
      <c r="C4" s="16">
        <f>СППР!C10</f>
        <v>50000</v>
      </c>
      <c r="D4" s="16">
        <f>СППР!D10</f>
        <v>50000</v>
      </c>
      <c r="E4" s="16">
        <f>СППР!E10</f>
        <v>50000</v>
      </c>
      <c r="F4" s="16">
        <f>СППР!F10</f>
        <v>50000</v>
      </c>
      <c r="G4" s="16">
        <f>СППР!G10</f>
        <v>200000</v>
      </c>
    </row>
    <row r="5" spans="1:7" ht="14.25" customHeight="1" x14ac:dyDescent="0.35">
      <c r="A5" s="2">
        <v>3</v>
      </c>
      <c r="B5" s="2" t="s">
        <v>79</v>
      </c>
      <c r="C5" s="16">
        <f>QMS!D8</f>
        <v>275000</v>
      </c>
      <c r="D5" s="16">
        <f>QMS!D10</f>
        <v>20000</v>
      </c>
      <c r="E5" s="16">
        <f>QMS!F8</f>
        <v>0</v>
      </c>
      <c r="F5" s="16">
        <f>QMS!G8</f>
        <v>670000</v>
      </c>
      <c r="G5" s="16">
        <f>QMS!G10</f>
        <v>80000</v>
      </c>
    </row>
    <row r="6" spans="1:7" ht="14.25" customHeight="1" x14ac:dyDescent="0.35">
      <c r="A6" s="2">
        <v>4</v>
      </c>
      <c r="B6" s="2" t="s">
        <v>80</v>
      </c>
      <c r="C6" s="16" t="str">
        <f>'Мобильное приложение'!C10</f>
        <v>50 000 ₽</v>
      </c>
      <c r="D6" s="16" t="str">
        <f>'Мобильное приложение'!D10</f>
        <v>50 000 ₽</v>
      </c>
      <c r="E6" s="16" t="str">
        <f>'Мобильное приложение'!E10</f>
        <v>50 000 ₽</v>
      </c>
      <c r="F6" s="16" t="str">
        <f>'Мобильное приложение'!F10</f>
        <v>50 000 ₽</v>
      </c>
      <c r="G6" s="16" t="str">
        <f>'Мобильное приложение'!G10</f>
        <v>200 000 ₽</v>
      </c>
    </row>
    <row r="7" spans="1:7" ht="14.25" customHeight="1" x14ac:dyDescent="0.35">
      <c r="A7" s="2">
        <v>5</v>
      </c>
      <c r="B7" s="2" t="s">
        <v>81</v>
      </c>
      <c r="C7" s="16" t="str">
        <f>PLM!C8</f>
        <v>620 000 ₽</v>
      </c>
      <c r="D7" s="16" t="str">
        <f>PLM!D8</f>
        <v>270 000 ₽</v>
      </c>
      <c r="E7" s="16" t="str">
        <f>PLM!E8</f>
        <v>20 000 ₽</v>
      </c>
      <c r="F7" s="16" t="str">
        <f>PLM!F8</f>
        <v>1 830 000 ₽</v>
      </c>
      <c r="G7" s="16" t="str">
        <f>PLM!G10</f>
        <v>600 000 ₽</v>
      </c>
    </row>
    <row r="8" spans="1:7" ht="14.25" customHeight="1" x14ac:dyDescent="0.35">
      <c r="B8" s="2" t="s">
        <v>13</v>
      </c>
      <c r="C8" s="16">
        <f>SUM(C3:C7)</f>
        <v>325000</v>
      </c>
      <c r="D8" s="16">
        <f>SUM(D3:D7)</f>
        <v>70000</v>
      </c>
      <c r="E8" s="16">
        <f>SUM(E3:E7)</f>
        <v>50000</v>
      </c>
      <c r="F8" s="16">
        <f t="shared" ref="F8:G8" si="0">SUM(F3:F7)</f>
        <v>720000</v>
      </c>
      <c r="G8" s="16">
        <f t="shared" si="0"/>
        <v>280000</v>
      </c>
    </row>
    <row r="9" spans="1:7" ht="14.25" customHeight="1" x14ac:dyDescent="0.35">
      <c r="A9" s="19" t="s">
        <v>15</v>
      </c>
      <c r="B9" s="20"/>
      <c r="C9" s="20"/>
      <c r="D9" s="20"/>
      <c r="E9" s="20"/>
      <c r="F9" s="20"/>
      <c r="G9" s="21"/>
    </row>
    <row r="10" spans="1:7" ht="14.25" customHeight="1" x14ac:dyDescent="0.35">
      <c r="A10" s="2">
        <v>1</v>
      </c>
      <c r="B10" s="2" t="s">
        <v>77</v>
      </c>
      <c r="C10" s="3">
        <f>'CRM1'!C10</f>
        <v>0</v>
      </c>
      <c r="D10" s="3">
        <f>'CRM1'!D10</f>
        <v>0</v>
      </c>
      <c r="E10" s="3">
        <f>'CRM1'!E10</f>
        <v>0</v>
      </c>
      <c r="F10" s="3">
        <f>'CRM1'!F10</f>
        <v>0</v>
      </c>
      <c r="G10" s="3">
        <f>'CRM1'!G10</f>
        <v>0</v>
      </c>
    </row>
    <row r="11" spans="1:7" ht="14.25" customHeight="1" x14ac:dyDescent="0.35">
      <c r="A11" s="2">
        <v>2</v>
      </c>
      <c r="B11" s="2" t="s">
        <v>78</v>
      </c>
      <c r="C11" s="22">
        <f>СППР!C10</f>
        <v>50000</v>
      </c>
      <c r="D11" s="22">
        <f>СППР!D10</f>
        <v>50000</v>
      </c>
      <c r="E11" s="22">
        <f>СППР!E10</f>
        <v>50000</v>
      </c>
      <c r="F11" s="22">
        <f>СППР!F10</f>
        <v>50000</v>
      </c>
      <c r="G11" s="22">
        <f>СППР!G10</f>
        <v>200000</v>
      </c>
    </row>
    <row r="12" spans="1:7" ht="14.25" customHeight="1" x14ac:dyDescent="0.35">
      <c r="A12" s="2">
        <v>3</v>
      </c>
      <c r="B12" s="2" t="s">
        <v>79</v>
      </c>
      <c r="C12" s="2">
        <f>QMS!C10</f>
        <v>20000</v>
      </c>
      <c r="D12" s="5">
        <f>QMS!D10</f>
        <v>20000</v>
      </c>
      <c r="E12" s="5">
        <f>QMS!F10</f>
        <v>20000</v>
      </c>
      <c r="F12" s="5">
        <f>QMS!F10</f>
        <v>20000</v>
      </c>
      <c r="G12" s="5">
        <f>QMS!G10</f>
        <v>80000</v>
      </c>
    </row>
    <row r="13" spans="1:7" ht="14.25" customHeight="1" x14ac:dyDescent="0.35">
      <c r="A13" s="2">
        <v>4</v>
      </c>
      <c r="B13" s="2" t="s">
        <v>80</v>
      </c>
      <c r="C13" s="2" t="str">
        <f>'Мобильное приложение'!C10</f>
        <v>50 000 ₽</v>
      </c>
      <c r="D13" s="2" t="str">
        <f>'Мобильное приложение'!D10</f>
        <v>50 000 ₽</v>
      </c>
      <c r="E13" s="2" t="str">
        <f>'Мобильное приложение'!E10</f>
        <v>50 000 ₽</v>
      </c>
      <c r="F13" s="2" t="str">
        <f>'Мобильное приложение'!F10</f>
        <v>50 000 ₽</v>
      </c>
      <c r="G13" s="2" t="str">
        <f>'Мобильное приложение'!G10</f>
        <v>200 000 ₽</v>
      </c>
    </row>
    <row r="14" spans="1:7" ht="14.25" customHeight="1" x14ac:dyDescent="0.35">
      <c r="A14" s="2">
        <v>5</v>
      </c>
      <c r="B14" s="2" t="s">
        <v>81</v>
      </c>
      <c r="C14" s="5" t="str">
        <f>PLM!C10</f>
        <v>150 000 ₽</v>
      </c>
      <c r="D14" s="5" t="str">
        <f>PLM!D10</f>
        <v>150 000 ₽</v>
      </c>
      <c r="E14" s="8" t="str">
        <f>PLM!E10</f>
        <v>150 000 ₽</v>
      </c>
      <c r="F14" s="8" t="str">
        <f>PLM!F10</f>
        <v>150 000 ₽</v>
      </c>
      <c r="G14" s="8" t="str">
        <f>PLM!G10</f>
        <v>600 000 ₽</v>
      </c>
    </row>
    <row r="15" spans="1:7" ht="14.25" customHeight="1" x14ac:dyDescent="0.35">
      <c r="B15" s="2" t="s">
        <v>13</v>
      </c>
      <c r="C15" s="3">
        <f>SUM(C10:C14)</f>
        <v>70000</v>
      </c>
      <c r="D15" s="3">
        <f t="shared" ref="D15:G15" si="1">SUM(D10:D14)</f>
        <v>70000</v>
      </c>
      <c r="E15" s="3">
        <f t="shared" si="1"/>
        <v>70000</v>
      </c>
      <c r="F15" s="3">
        <f t="shared" si="1"/>
        <v>70000</v>
      </c>
      <c r="G15" s="3">
        <f t="shared" si="1"/>
        <v>280000</v>
      </c>
    </row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2:G2"/>
    <mergeCell ref="A9:G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CRM1</vt:lpstr>
      <vt:lpstr>СППР</vt:lpstr>
      <vt:lpstr>QMS</vt:lpstr>
      <vt:lpstr>Мобильное приложение</vt:lpstr>
      <vt:lpstr>PLM</vt:lpstr>
      <vt:lpstr>План информатизации 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Chubchenko, Mariya</dc:creator>
  <cp:lastModifiedBy>александр царковный</cp:lastModifiedBy>
  <dcterms:created xsi:type="dcterms:W3CDTF">2025-01-13T12:47:29Z</dcterms:created>
  <dcterms:modified xsi:type="dcterms:W3CDTF">2025-12-29T08:56:00Z</dcterms:modified>
</cp:coreProperties>
</file>