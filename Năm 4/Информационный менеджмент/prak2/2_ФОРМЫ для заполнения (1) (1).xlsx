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n\Nam 4\Kì 1\Информационный менеджмент\prak2\"/>
    </mc:Choice>
  </mc:AlternateContent>
  <xr:revisionPtr revIDLastSave="0" documentId="13_ncr:1_{413A4494-C770-447F-9182-31BFE786DDE4}" xr6:coauthVersionLast="47" xr6:coauthVersionMax="47" xr10:uidLastSave="{00000000-0000-0000-0000-000000000000}"/>
  <bookViews>
    <workbookView xWindow="-108" yWindow="-108" windowWidth="23256" windowHeight="13896" firstSheet="5" activeTab="9" xr2:uid="{00000000-000D-0000-FFFF-FFFF00000000}"/>
  </bookViews>
  <sheets>
    <sheet name="№1" sheetId="2" r:id="rId1"/>
    <sheet name="№2" sheetId="3" r:id="rId2"/>
    <sheet name="№3" sheetId="1" r:id="rId3"/>
    <sheet name="№4" sheetId="4" r:id="rId4"/>
    <sheet name="№5.1." sheetId="5" r:id="rId5"/>
    <sheet name="№5.2" sheetId="6" r:id="rId6"/>
    <sheet name="№5.3" sheetId="7" r:id="rId7"/>
    <sheet name="№5.4." sheetId="8" r:id="rId8"/>
    <sheet name="№6" sheetId="9" r:id="rId9"/>
    <sheet name="№7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6" l="1"/>
  <c r="E39" i="6"/>
  <c r="D41" i="6"/>
  <c r="D39" i="6"/>
  <c r="E40" i="6"/>
  <c r="D40" i="6"/>
  <c r="E35" i="6"/>
  <c r="E36" i="6"/>
  <c r="E37" i="6"/>
  <c r="D35" i="6"/>
  <c r="D36" i="6"/>
  <c r="D37" i="6"/>
  <c r="E34" i="6"/>
  <c r="D34" i="6"/>
  <c r="E28" i="6"/>
  <c r="E29" i="6"/>
  <c r="E30" i="6"/>
  <c r="E31" i="6"/>
  <c r="E32" i="6"/>
  <c r="D28" i="6"/>
  <c r="D29" i="6"/>
  <c r="D30" i="6"/>
  <c r="D31" i="6"/>
  <c r="D32" i="6"/>
  <c r="D27" i="6"/>
  <c r="E27" i="6"/>
  <c r="E17" i="6"/>
  <c r="E18" i="6"/>
  <c r="E19" i="6"/>
  <c r="E20" i="6"/>
  <c r="E21" i="6"/>
  <c r="E22" i="6"/>
  <c r="E23" i="6"/>
  <c r="E24" i="6"/>
  <c r="E25" i="6"/>
  <c r="D17" i="6"/>
  <c r="D18" i="6"/>
  <c r="D19" i="6"/>
  <c r="D20" i="6"/>
  <c r="D21" i="6"/>
  <c r="D22" i="6"/>
  <c r="D23" i="6"/>
  <c r="D24" i="6"/>
  <c r="D25" i="6"/>
  <c r="E16" i="6"/>
  <c r="D16" i="6"/>
  <c r="D14" i="6"/>
  <c r="E10" i="6"/>
  <c r="E11" i="6"/>
  <c r="E12" i="6"/>
  <c r="E13" i="6"/>
  <c r="E14" i="6"/>
  <c r="E9" i="6"/>
  <c r="D10" i="6"/>
  <c r="D11" i="6"/>
  <c r="D12" i="6"/>
  <c r="D13" i="6"/>
  <c r="D9" i="6"/>
</calcChain>
</file>

<file path=xl/sharedStrings.xml><?xml version="1.0" encoding="utf-8"?>
<sst xmlns="http://schemas.openxmlformats.org/spreadsheetml/2006/main" count="667" uniqueCount="558">
  <si>
    <t xml:space="preserve">Форма 1.1  </t>
  </si>
  <si>
    <t>Факторы</t>
  </si>
  <si>
    <t>Описание</t>
  </si>
  <si>
    <t xml:space="preserve">Название предприятия </t>
  </si>
  <si>
    <t>Конечные виды производимой продук ции (услуг)</t>
  </si>
  <si>
    <t>Конечные потребители продукции (услуг) предприятия</t>
  </si>
  <si>
    <t>Поставщики</t>
  </si>
  <si>
    <t>Основные виды поставляемого сырья, материалов, полуфабрикатов и пр.</t>
  </si>
  <si>
    <t xml:space="preserve">Форма 1.2 </t>
  </si>
  <si>
    <t>Элементы видения</t>
  </si>
  <si>
    <t>Вопросы</t>
  </si>
  <si>
    <t>Ответы</t>
  </si>
  <si>
    <t>1. Каково будет положение предприятия на рынке через 5-10 лет</t>
  </si>
  <si>
    <t>2. Что будут говорить потребители о пред приятии</t>
  </si>
  <si>
    <t>3. Что будут говорить о предприятии конку ренты</t>
  </si>
  <si>
    <t>4. Что будут говорить ваши сотрудники о предприятии</t>
  </si>
  <si>
    <t>5. Как на предприятии будут приниматься решения, какова будет его структура, как будут осуществляется коммуникации</t>
  </si>
  <si>
    <t xml:space="preserve">6. Каковы будут  недостатки и возможности </t>
  </si>
  <si>
    <t xml:space="preserve">совершенствования предприятия  </t>
  </si>
  <si>
    <t xml:space="preserve">7. Что позволит предприятию  за эти  5 – 10 </t>
  </si>
  <si>
    <t xml:space="preserve">лет стать столь успешным  </t>
  </si>
  <si>
    <t>ТЕКСТ ВИДЕНИЯ</t>
  </si>
  <si>
    <t xml:space="preserve">Форма 1.3 </t>
  </si>
  <si>
    <t>Элементы миссии</t>
  </si>
  <si>
    <t>1. Будущее нашего предприятия выглядит так, что мы..…………..</t>
  </si>
  <si>
    <t>2. Наша задача в этом случае ……………..</t>
  </si>
  <si>
    <t>3. При этом мы обязуемся ..........................</t>
  </si>
  <si>
    <t>4. Наши клиенты – это ................................</t>
  </si>
  <si>
    <t>5. Мы решаем следующие проблемы клиентов.....</t>
  </si>
  <si>
    <t>6. Наши клиенты сотрудничают именно с нами, потому что ............................................</t>
  </si>
  <si>
    <t>7. Мы приносим клиентам пользу и относим ся к ним так, что ..................</t>
  </si>
  <si>
    <t>8. Мы сильные, потому что …………………</t>
  </si>
  <si>
    <t>9. Мы отличаемся от наиболее сильных конку рентов тем, что ..........</t>
  </si>
  <si>
    <t>10. Наша этическая и моральная точка зрения обязывает нас к ............................................</t>
  </si>
  <si>
    <t>11. Управленческое поведение в нашей пред приятии характеризуется .......................</t>
  </si>
  <si>
    <t>12. Мы ожидаем от наших руководителей, что</t>
  </si>
  <si>
    <t>13. Мы ожидаем от наших сотрудников, что..</t>
  </si>
  <si>
    <t>14. Наши сотрудники являются для нас .........</t>
  </si>
  <si>
    <t>15. Отношения с общественностью характери зуются ............</t>
  </si>
  <si>
    <t>16. Мы преследуем социальные цели ............</t>
  </si>
  <si>
    <t>17. Государство и общество мы видим как.....</t>
  </si>
  <si>
    <t>18. Мы приносим пользу обществу, потому что………………….</t>
  </si>
  <si>
    <t>19. Наше отношение к окружающей среде пронизано ...........</t>
  </si>
  <si>
    <t>20. Наше отношение к нашим конкурентам характеризуется ..................................</t>
  </si>
  <si>
    <t>Конечные виды производимой продукции (услуг)</t>
  </si>
  <si>
    <t xml:space="preserve">1. В чем заключается бизнес?  </t>
  </si>
  <si>
    <t xml:space="preserve">2. Кто является потребителями продукции/услуг?  </t>
  </si>
  <si>
    <t xml:space="preserve">3. Что представляет ценность для потребителей?  </t>
  </si>
  <si>
    <t xml:space="preserve">4. Каковы результаты деятельности организации?  </t>
  </si>
  <si>
    <t>5. Каковы ее дальнейшие планы</t>
  </si>
  <si>
    <t xml:space="preserve">Идентификация факторов макро и микроокружения </t>
  </si>
  <si>
    <t>предприятия, возможностей и угроз</t>
  </si>
  <si>
    <t>Факторы внешней среды</t>
  </si>
  <si>
    <t>Оценка</t>
  </si>
  <si>
    <t>1. Повышение уровня жизни населения</t>
  </si>
  <si>
    <t>3. Появление новых поставщиков</t>
  </si>
  <si>
    <t>4. Изменения в миграционной политике государства</t>
  </si>
  <si>
    <t>6. Совершенствование технологии производства</t>
  </si>
  <si>
    <t>7. Цифровизация экономики</t>
  </si>
  <si>
    <t>8. Изменение потребительских предпочтений</t>
  </si>
  <si>
    <t>9. Неудачное поведение конкурентов</t>
  </si>
  <si>
    <t>10. Разорение и уход с рынка поставщиков</t>
  </si>
  <si>
    <t>11. Ужесточение экологического законодательства</t>
  </si>
  <si>
    <t>13. Изменения моды</t>
  </si>
  <si>
    <t>14. Рост налогов и пошлин</t>
  </si>
  <si>
    <t>16. Снижение уровня жизни населения</t>
  </si>
  <si>
    <t>18. Совершенствование менеджмента</t>
  </si>
  <si>
    <t>19. Изменение трудового законодательства</t>
  </si>
  <si>
    <t>20. Сокращение безработицы</t>
  </si>
  <si>
    <t>21. Снижение инфляции</t>
  </si>
  <si>
    <t>22. Уменьшение императивных норм законодательства</t>
  </si>
  <si>
    <t>23. Развитие форм социального страхования населения</t>
  </si>
  <si>
    <t>24. Появление новых поставщиков</t>
  </si>
  <si>
    <t>25. Рост цен на энергоресурсы</t>
  </si>
  <si>
    <t>26. Развитие саморегулирования в предпринимательской деятельности</t>
  </si>
  <si>
    <t>27. Новые правила торговли в ВТО</t>
  </si>
  <si>
    <t>28. Появление новых предприятий на рынке</t>
  </si>
  <si>
    <t>29. Принятие новых технических регламентов</t>
  </si>
  <si>
    <t xml:space="preserve">Примечание: факторы макросреды идентифицируются </t>
  </si>
  <si>
    <t>буквой «Д» (дальнее окружение),  факторы микросреды идентифицируются буквой «Б» (ближнее окружение). Возможно</t>
  </si>
  <si>
    <t>сти идентифицируются знаком  «+» угрозы – знаком «-».</t>
  </si>
  <si>
    <t>PEST – анализ макросреды предприятия</t>
  </si>
  <si>
    <t>Группы факторов</t>
  </si>
  <si>
    <t>Вес,</t>
  </si>
  <si>
    <t>Бальная оценка,</t>
  </si>
  <si>
    <r>
      <t>±q</t>
    </r>
    <r>
      <rPr>
        <vertAlign val="subscript"/>
        <sz val="11"/>
        <color theme="1"/>
        <rFont val="Times New Roman"/>
        <family val="1"/>
        <charset val="204"/>
      </rPr>
      <t>i</t>
    </r>
  </si>
  <si>
    <t xml:space="preserve">Взвешенная оценка, </t>
  </si>
  <si>
    <t>±Q</t>
  </si>
  <si>
    <t>Угрозы</t>
  </si>
  <si>
    <t>Возможности</t>
  </si>
  <si>
    <t>1. Политико-правовые</t>
  </si>
  <si>
    <t>-∑</t>
  </si>
  <si>
    <t>+∑</t>
  </si>
  <si>
    <t>1.1. Правительственная стабильность</t>
  </si>
  <si>
    <t>1.2. Налоговая поли тика и законодательство в этой сфере</t>
  </si>
  <si>
    <t>1.3.Антимонопольное законодательство</t>
  </si>
  <si>
    <t>1.4. Законы по охране природной среды</t>
  </si>
  <si>
    <t>1.5. Регулирование занятости населения</t>
  </si>
  <si>
    <t>1.6.Внешнеэкономическое законодательство</t>
  </si>
  <si>
    <t>1.7. Позиция государства по отношению к иностранному капиталу</t>
  </si>
  <si>
    <t>1.8. Профсоюзы и другие группы давления (политического, экономического и т. п.)</t>
  </si>
  <si>
    <t>2. Экономические</t>
  </si>
  <si>
    <t>2.1. Уровень налогов и пошлин</t>
  </si>
  <si>
    <t>2.2. Уровень безработицы</t>
  </si>
  <si>
    <t>2.3. Тенденции валового национального продукта</t>
  </si>
  <si>
    <t>2.4. Стадия делового цикла</t>
  </si>
  <si>
    <t>2.5. Процентная ставка и курс национальной валюты</t>
  </si>
  <si>
    <t>2.6. Количество денег в обращении</t>
  </si>
  <si>
    <t>2.7. Уровень инфляции</t>
  </si>
  <si>
    <t>2.8. Контроль над ценами и заработной платой</t>
  </si>
  <si>
    <t>2.9. Цены на энергоресурсы</t>
  </si>
  <si>
    <t>2.10. Инвестиционная политика</t>
  </si>
  <si>
    <t>3. Социокультурные</t>
  </si>
  <si>
    <t>3.1. Демографическая структура населения</t>
  </si>
  <si>
    <t>3.2. Стиль жизни, обычаи и привычки</t>
  </si>
  <si>
    <t>3.3. Менталитет</t>
  </si>
  <si>
    <t>3.4. Социальная мобильность населения</t>
  </si>
  <si>
    <t>3.5. Активность потребителей</t>
  </si>
  <si>
    <t>4. Технологические</t>
  </si>
  <si>
    <t>4.1. Затраты на НИОКР из госбюджета;</t>
  </si>
  <si>
    <t>4.2. Затраты на НИОКР из разных источников</t>
  </si>
  <si>
    <t>4.3. Защита интеллектуальной собственности</t>
  </si>
  <si>
    <t>4.4. Государственная политика в области НТП</t>
  </si>
  <si>
    <t>4.5. Новые продукты (скорость обновления, источники идей)</t>
  </si>
  <si>
    <t>ИТОГО</t>
  </si>
  <si>
    <t xml:space="preserve">Ранжированный перечень факторов макроокружения </t>
  </si>
  <si>
    <t>Предприятия</t>
  </si>
  <si>
    <t>Анализ микросреды предприятия</t>
  </si>
  <si>
    <r>
      <t>β</t>
    </r>
    <r>
      <rPr>
        <vertAlign val="subscript"/>
        <sz val="12"/>
        <color theme="1"/>
        <rFont val="Times New Roman"/>
        <family val="1"/>
        <charset val="204"/>
      </rPr>
      <t>i</t>
    </r>
  </si>
  <si>
    <r>
      <t>±q</t>
    </r>
    <r>
      <rPr>
        <vertAlign val="subscript"/>
        <sz val="12"/>
        <color theme="1"/>
        <rFont val="Times New Roman"/>
        <family val="1"/>
        <charset val="204"/>
      </rPr>
      <t>i</t>
    </r>
  </si>
  <si>
    <r>
      <t>±Q</t>
    </r>
    <r>
      <rPr>
        <vertAlign val="subscript"/>
        <sz val="12"/>
        <color theme="1"/>
        <rFont val="Times New Roman"/>
        <family val="1"/>
        <charset val="204"/>
      </rPr>
      <t>i</t>
    </r>
  </si>
  <si>
    <t>1. Поставщики</t>
  </si>
  <si>
    <t>1.1. Стабильность поставок ресурсов</t>
  </si>
  <si>
    <t>1.2. Уровень цен на ресурсы</t>
  </si>
  <si>
    <t>1.3 Масштабы рынка поставщиков ресурсов</t>
  </si>
  <si>
    <t>1.4. Перспективы появления новых поставщиков</t>
  </si>
  <si>
    <t>1.5. Территориальное расположение поставщиков</t>
  </si>
  <si>
    <t>1.6. Возможности ценового сговора поставщиков</t>
  </si>
  <si>
    <t>2. . Конкуренты</t>
  </si>
  <si>
    <t>2.1. Размеры рынка</t>
  </si>
  <si>
    <t>2.2. Среднеотраслевая прибыль</t>
  </si>
  <si>
    <t>2.3. Барьеры для входа / выхода</t>
  </si>
  <si>
    <t>2.4. Уровень цен на готовую продукцию</t>
  </si>
  <si>
    <t>2.5. Масштабы конкуренции</t>
  </si>
  <si>
    <t>2.6. Перспективы появления новых концернов</t>
  </si>
  <si>
    <t>2.7. Возможности появление товаров субститутов</t>
  </si>
  <si>
    <t>2.8. Перспективы появление принципиально нового то вара</t>
  </si>
  <si>
    <t>2.9. Поведение кон курентов</t>
  </si>
  <si>
    <t>2.10. Перспективы роста конкурентных преимуществ со стороны конкурентов</t>
  </si>
  <si>
    <t>3. Потребители</t>
  </si>
  <si>
    <t>3.1. Изменение покупательских пред почтений</t>
  </si>
  <si>
    <t>3.2. Изменение уровня дохода потребителей</t>
  </si>
  <si>
    <t>3.3. Широта клиентской аудитории</t>
  </si>
  <si>
    <t>3.4. Стиль поведения клиентов (новаторы или консерваторы)</t>
  </si>
  <si>
    <t>3.5. Приверженность клиентов интересам предприятия</t>
  </si>
  <si>
    <t>3.6. Возможности продления жизненного цикла клиентов</t>
  </si>
  <si>
    <t>4. Рынок рабочей силы</t>
  </si>
  <si>
    <t>4.1. Степень соответствия квалификации рабочей силы на рынке требованиям предприятия</t>
  </si>
  <si>
    <t>4.2. Наличие свободной рабочей си лы на рынке труда</t>
  </si>
  <si>
    <t>4.3. Соответствие уровня заработной платы на предприятии ожиданиям со искателей</t>
  </si>
  <si>
    <t>4.4. Необходимость дополнительного обучения соискателей</t>
  </si>
  <si>
    <t>5. Контактные аудитории</t>
  </si>
  <si>
    <t>5.1. Репутация предприятия среди населения</t>
  </si>
  <si>
    <t>5.2. Заинтересованность органов власти в деятельности предприятия (градообразующее или нет)</t>
  </si>
  <si>
    <t>5.3. Взаимодействие предприятия со СМИ</t>
  </si>
  <si>
    <t xml:space="preserve">Ранжированный перечень факторов микроокружения </t>
  </si>
  <si>
    <t>1. Отсутствие свободной рабочей силы на рынке труда (пример)</t>
  </si>
  <si>
    <t>1. Рост цен на готовую продукцию (пример)</t>
  </si>
  <si>
    <t xml:space="preserve">Диагностическая карта оценки  </t>
  </si>
  <si>
    <t>внутренних возможностей   предприятия</t>
  </si>
  <si>
    <t>Оценка (балл)</t>
  </si>
  <si>
    <t>ПРОИЗВОДСТВО</t>
  </si>
  <si>
    <t>1. Использование оборудования</t>
  </si>
  <si>
    <t>3. Системы контроля качества</t>
  </si>
  <si>
    <t>4. Совокупная факторная производительность</t>
  </si>
  <si>
    <t>6. Возраст технологического оборудования</t>
  </si>
  <si>
    <t>МАРКЕТИНГ</t>
  </si>
  <si>
    <t>1. Доля рынка</t>
  </si>
  <si>
    <t>2. Репутация предприятия</t>
  </si>
  <si>
    <t>ФИНАНСЫ И БУХУЧЕТ</t>
  </si>
  <si>
    <t>2. Инвестиционный рейтинг</t>
  </si>
  <si>
    <t>3. Доход на активы</t>
  </si>
  <si>
    <t>4. Норма прибыли</t>
  </si>
  <si>
    <t>5. Доход на вложенный капитал</t>
  </si>
  <si>
    <t>ПЕРСОНАЛ</t>
  </si>
  <si>
    <t>3. Уровень подготовки персонала в сфере сбыта</t>
  </si>
  <si>
    <t>4. Текучесть кадров</t>
  </si>
  <si>
    <t>ИССЛЕДОВАНИЯ И РАЗРАБОТКИ</t>
  </si>
  <si>
    <t>1. Применяемые стандарты и степень их совместимости</t>
  </si>
  <si>
    <t>2. Новые продукты</t>
  </si>
  <si>
    <t>3. Расходы на НИОКР</t>
  </si>
  <si>
    <t>УПРАВЛЕНИЕ И ОРГАНИЗАЦИОННАЯ КУЛЬТУРА</t>
  </si>
  <si>
    <t>1. Численность и квалификация инженерно-технологического и управленческого персонала</t>
  </si>
  <si>
    <t>2. Скорость реакции управления на изменения во внешней среде</t>
  </si>
  <si>
    <t xml:space="preserve"> Оценка внутренней среды предприятия</t>
  </si>
  <si>
    <t>№</t>
  </si>
  <si>
    <t>ФУНКЦИОНАЛЬНЫЕ ЗОНЫ</t>
  </si>
  <si>
    <t>Лидер</t>
  </si>
  <si>
    <t>Выше среднего</t>
  </si>
  <si>
    <t>Сред нее</t>
  </si>
  <si>
    <t>Низ кое</t>
  </si>
  <si>
    <t>Кри зисное</t>
  </si>
  <si>
    <t>Определение сильных и слабых сторон предприятия</t>
  </si>
  <si>
    <t>Параметры оценки</t>
  </si>
  <si>
    <t>Сильные стороны</t>
  </si>
  <si>
    <t>Слабые стороны</t>
  </si>
  <si>
    <t>1. Организация</t>
  </si>
  <si>
    <t>2. Производство</t>
  </si>
  <si>
    <t>3. Финансы</t>
  </si>
  <si>
    <t>4. Инновации</t>
  </si>
  <si>
    <t>5. Маркетинг</t>
  </si>
  <si>
    <t>Определение рыночных возможностей и угроз</t>
  </si>
  <si>
    <t>1. Спрос</t>
  </si>
  <si>
    <t>2. Конкуренция</t>
  </si>
  <si>
    <t>3. Сбыт</t>
  </si>
  <si>
    <t>4. Экономика</t>
  </si>
  <si>
    <t>5.Политика и право</t>
  </si>
  <si>
    <t>6.Научно-технические факторы</t>
  </si>
  <si>
    <t>7.Социально-демографические факторы</t>
  </si>
  <si>
    <t>8.Социально-культурные факторы</t>
  </si>
  <si>
    <t>9.Природные и экологические факторы</t>
  </si>
  <si>
    <t>10. Международные факторы</t>
  </si>
  <si>
    <t>Матрица SWOT-анализа</t>
  </si>
  <si>
    <t xml:space="preserve">ВОЗМОЖНОСТИ </t>
  </si>
  <si>
    <t xml:space="preserve">1. Появление новой розничной сети </t>
  </si>
  <si>
    <t>2. …..</t>
  </si>
  <si>
    <t xml:space="preserve">УГРОЗЫ </t>
  </si>
  <si>
    <t xml:space="preserve">1. Появление крупно го конкурента </t>
  </si>
  <si>
    <t xml:space="preserve">СИЛЬНЫЕ СТОРОНЫ </t>
  </si>
  <si>
    <t>1. Высокое качество продукции</t>
  </si>
  <si>
    <t xml:space="preserve"> 2. …..</t>
  </si>
  <si>
    <t xml:space="preserve">1. Как воспользоваться возможностями. </t>
  </si>
  <si>
    <t>Попытаться войти в число поставщиков новой сети, сделав акцент на качестве вашей продукции</t>
  </si>
  <si>
    <t>2. За счет чего можно снизить угрозы. Удержать ваших покупателей от перехода к конкуренту, проинформировав их о высоком качестве вашей продукции</t>
  </si>
  <si>
    <t xml:space="preserve">СЛАБЫЕ СТОРОНЫ </t>
  </si>
  <si>
    <t xml:space="preserve">1.Высокая себестоимость продукции </t>
  </si>
  <si>
    <t>2. ...</t>
  </si>
  <si>
    <t>1. Что может помешать воспользоваться возможностями. Новая сеть может отказаться от закупок вашей продукции, так как ваши оптовые цены выше, чем у конкурентов</t>
  </si>
  <si>
    <t>2. Самые большие опасности для фирмы. Появившийся конкурент может предложить рынку продукцию, аналогичную вашей, по более низким ценам</t>
  </si>
  <si>
    <t>Количественная оценка факторов</t>
  </si>
  <si>
    <t xml:space="preserve">Внутренний </t>
  </si>
  <si>
    <t>анализ</t>
  </si>
  <si>
    <t xml:space="preserve">Внешний </t>
  </si>
  <si>
    <t>Сильные стороны:</t>
  </si>
  <si>
    <t>Слабые стороны:</t>
  </si>
  <si>
    <t>Итого</t>
  </si>
  <si>
    <t>№1</t>
  </si>
  <si>
    <t>№2</t>
  </si>
  <si>
    <t>Возможности:</t>
  </si>
  <si>
    <t>Угрозы:</t>
  </si>
  <si>
    <t>Итого:</t>
  </si>
  <si>
    <t>*</t>
  </si>
  <si>
    <t>Формирование генеральной цели предприятия</t>
  </si>
  <si>
    <t>Вопрос</t>
  </si>
  <si>
    <t>Ответ</t>
  </si>
  <si>
    <t>Каким вы представляете себе предприятия через 5 лет и через 10 лет?</t>
  </si>
  <si>
    <t>Какие события будут способствовать продвижению к намеченной стратеги ческой цели, а какие могут помешать?</t>
  </si>
  <si>
    <t>Какие внутренние стратегические проблемы могут возникнуть при реализации ваших устремлений.</t>
  </si>
  <si>
    <t>Иерархия  целей предприятия  [1. С. 48-49]</t>
  </si>
  <si>
    <t>Стратегические цели предприятия на период</t>
  </si>
  <si>
    <t>Значения</t>
  </si>
  <si>
    <t>1. Корпоративные цели:</t>
  </si>
  <si>
    <t>1.1.</t>
  </si>
  <si>
    <t>1.2.</t>
  </si>
  <si>
    <t>…</t>
  </si>
  <si>
    <t>2. Финансовые цели:</t>
  </si>
  <si>
    <t>2.1.</t>
  </si>
  <si>
    <t>2.2.</t>
  </si>
  <si>
    <t>3.Маркетинговые (клиентские, продуктоворыночные) цели:</t>
  </si>
  <si>
    <t>3.1. Бизнес-направление 1:</t>
  </si>
  <si>
    <t>а)</t>
  </si>
  <si>
    <t>б)</t>
  </si>
  <si>
    <t>3.1. Бизнес-направление 2:</t>
  </si>
  <si>
    <t>4. Операционные (процессные):</t>
  </si>
  <si>
    <t>4.1. Основные и обеспечивающие бизнес процессы:</t>
  </si>
  <si>
    <t>4.1.1 Реализация:</t>
  </si>
  <si>
    <t>4.1.2. Производство:</t>
  </si>
  <si>
    <t>4.1.3. Материально-техническое обеспечение:</t>
  </si>
  <si>
    <t>4.2. Управленческие бизнес-процессы :</t>
  </si>
  <si>
    <t>4.2.1. Управление финансами:</t>
  </si>
  <si>
    <t>4.2.2. Управление маркетингом:</t>
  </si>
  <si>
    <t>4.2.3 Управление персоналом:</t>
  </si>
  <si>
    <t>5. Ресурсные цели:</t>
  </si>
  <si>
    <t>5.1.Финансовые ресурсы:</t>
  </si>
  <si>
    <t>5.2. Материальные ресурсы:</t>
  </si>
  <si>
    <t>5.3. Человеческие ресурсы:</t>
  </si>
  <si>
    <t>5.4. Информационные ресурсы:</t>
  </si>
  <si>
    <t>5.5. Административные ресурсы:</t>
  </si>
  <si>
    <t>Конкурентное преимущество</t>
  </si>
  <si>
    <t>Низкие издержки</t>
  </si>
  <si>
    <t>Высокие издержки</t>
  </si>
  <si>
    <t>Сфера конкуренции</t>
  </si>
  <si>
    <t>Широкая цель</t>
  </si>
  <si>
    <t>1.Лидерство по затратам</t>
  </si>
  <si>
    <t>2.Широкая дифференциация</t>
  </si>
  <si>
    <t>Узкая цель</t>
  </si>
  <si>
    <t>3.Сфокусированные издержки или низкие затраты</t>
  </si>
  <si>
    <t>4. Сфокусированная дифференциация (один продукт – один покупатель)</t>
  </si>
  <si>
    <t>Типовые конкурентные стратегии  по М.Портеру</t>
  </si>
  <si>
    <t>Рынок</t>
  </si>
  <si>
    <t>Старый</t>
  </si>
  <si>
    <t>Новый</t>
  </si>
  <si>
    <t>Товар</t>
  </si>
  <si>
    <t>Стратегия проникновения на рынок</t>
  </si>
  <si>
    <t>Стратегия развития рынка</t>
  </si>
  <si>
    <t>Стратегия разработки новых товаров</t>
  </si>
  <si>
    <t>Стратегия диверсификации</t>
  </si>
  <si>
    <t>Модель И. Ансоффа по товарам/рынкам</t>
  </si>
  <si>
    <t xml:space="preserve">16. Значителен ли для отрасли «опыт, полученный на практике»?  </t>
  </si>
  <si>
    <t xml:space="preserve">Таблица 1.1 </t>
  </si>
  <si>
    <t>Критерии оценки качества видения</t>
  </si>
  <si>
    <t>Критерий</t>
  </si>
  <si>
    <t>1. Сформулирована нефинансовая цель, близкая и понятная большинству сотрудников предприятия (финансовые задачи отражаются в дереве целей. А в видении имеют место формулировки, отражающие нацеленность на результат: «лучший», «мирового класса», «предпочтительный поставщик», «лидер»).</t>
  </si>
  <si>
    <t>2. Содержит четкое описание стратегических преимущества предприятия.</t>
  </si>
  <si>
    <t>3. Является реально осуществимым, хотя и амбициозным.</t>
  </si>
  <si>
    <t>4. Вдохновляет людей развиваться и двигаться к успеху.</t>
  </si>
  <si>
    <t>5. Представляет перспективу, как своим сотрудникам, так и сторонним организациям (для сотрудников видение должно быть объяснением то го, почему он или она должны стремиться работать на предприятии, для сторонних организаций - отражать, что предприятие собирается достичь в перспективе)</t>
  </si>
  <si>
    <t>Показатели развития отрасли</t>
  </si>
  <si>
    <t>Значение показателя, ед. измерения</t>
  </si>
  <si>
    <t>Характеристика показателя</t>
  </si>
  <si>
    <t xml:space="preserve">Размер отрасли (годовой оборот (долл., р.). </t>
  </si>
  <si>
    <t xml:space="preserve">Таблица 4.1 </t>
  </si>
  <si>
    <t>Ключевые показатели развития отрасли</t>
  </si>
  <si>
    <t xml:space="preserve">Скорость роста отрасли (долл., р./год; т./год, шт./год  и т.п.).  </t>
  </si>
  <si>
    <t xml:space="preserve">Стадия  жизненного цикла экономического развития отрасли (раннее развитие, быстрый рост и подъем, ранняя зрелость, поздняя зрелость, насыщение, стагнация, старение, спад).  </t>
  </si>
  <si>
    <t xml:space="preserve">Масштаб конкуренции (местная, региональная, национальная, международная, глобальная).  </t>
  </si>
  <si>
    <t xml:space="preserve">Число конкурентов и их относительная величина (например, отрасль представлена многочисленными мелкими предприятиями  или в ней доминируют несколько крупных компаний);  </t>
  </si>
  <si>
    <t>Структура конкуренции (относительные рыночные доли конкурентов).</t>
  </si>
  <si>
    <t xml:space="preserve">Число потребителей и их финансовые возможности.  </t>
  </si>
  <si>
    <t xml:space="preserve">Преобладающая вертикальная интеграция (наличие, преобладание интеграции «вперед» или «назад»).  Вертикальная интеграция «вперед» (к потребителю) – интеграция «производство - дистрибуция (распределение)». В этом случае предприятие  начинает оказывать дополнительные услуги, например, заниматься упаковкой своего товара, доставкой его потребителю собственным транспортом и т.п.  
Вертикальная интеграция «назад» (к поставщику) – интеграция «производство – добыча и производство сырья». 
</t>
  </si>
  <si>
    <t xml:space="preserve">Входные барьеры –  препятствия, которые необходимо преодолеть для организации бизнеса и успешной конкуренции в отрасли. Например, «входными барьерами» для новых конкурентов являются:  
значительный объем необходимых капиталовложений;  
экономия на масштабах производства, что дает преимущество по издержкам существующим фирмам;  
высокие издержки, связанные со сменой поставщика технологий, приобретением нового оборудования, обучением 
персонала и т.п.;  
сложный доступ к каналам распределения;  
патентная защита; 
протекционистская государственная политика, направленная на защиту отечественных производителей;  
приверженность потребителей к знакомым товарным маркам.  
</t>
  </si>
  <si>
    <t>Выходные барьеры (простота и легкость выхода, каковы потери при выходе, ликвидность бизнеса). Уровень «выходных барьеров» может быть связан с большими затратами на ликвидацию предприятия (малоликвидное специальное оборудование, восстановление земли и т.п.); необходимостью списания крупных инвестиций; политикой государства, стимулирующей  отрасли посредством налоговых льгот и др. Соотношение уровней «входных» и «выходных» рыночныхбарьеров  дает представление о мобильности предприятия и привлекательности его бизнеса в определенной  СЗХ .</t>
  </si>
  <si>
    <t xml:space="preserve">Происходящие изменения технологии производства (непрерывные незначительные изменения, значительные обновления, радикальные обновления (технологический прорыв)).  </t>
  </si>
  <si>
    <t xml:space="preserve">Происходящие изменения выпускаемой продукции (услуг) (непрерывные незначительные, значительные обновления, радикальные обновления).  </t>
  </si>
  <si>
    <t xml:space="preserve">Является ли продукция (услуги) конкурентов высоко индивидуализированными (индивидуальными), слабо  индивидуализированными (серийными), идентичными (массовыми)?  </t>
  </si>
  <si>
    <t xml:space="preserve">Могут ли конкуренты использовать эффект масштаба при осуществлении закупок, производстве, транспортировке, маркетинге или рекламе? Эффект масштаба (или экономия на масштабах) сводится к  достижению более низких издержек на единицу продукции по сравнению с конкурентами за счет больших объемов производимой продукции и сбытовой деятельности.  </t>
  </si>
  <si>
    <t xml:space="preserve">Является ли высокий коэффициент использования производственных мощностей решающим для достижения низких издержек производства? </t>
  </si>
  <si>
    <t xml:space="preserve">Какова средняя прибыльность для отрасли?  </t>
  </si>
  <si>
    <t xml:space="preserve">Каков средний объем продаж на одного работающего?  </t>
  </si>
  <si>
    <t xml:space="preserve">Какова отраслевая капиталоемкость?  </t>
  </si>
  <si>
    <t xml:space="preserve">Какова чувствительность отрасли к состоянию экономики в регионе, стране, мире?  </t>
  </si>
  <si>
    <t xml:space="preserve">Каково соотношение - «потребность в капитале / увеличение объема производства»?  </t>
  </si>
  <si>
    <t xml:space="preserve">Форма 5.1.1 </t>
  </si>
  <si>
    <t xml:space="preserve">Форма 5.1.2 </t>
  </si>
  <si>
    <t xml:space="preserve">Форма 5.1.3 </t>
  </si>
  <si>
    <t xml:space="preserve">Форма 5.2.1 </t>
  </si>
  <si>
    <t xml:space="preserve">Форма 5.2.2. </t>
  </si>
  <si>
    <t xml:space="preserve">Форма 5.3.1 </t>
  </si>
  <si>
    <t>Форма 5.3.2</t>
  </si>
  <si>
    <t xml:space="preserve">Таблица 5.4.1  </t>
  </si>
  <si>
    <t xml:space="preserve">Таблица 5.4.2  </t>
  </si>
  <si>
    <t xml:space="preserve">Таблица 5.4.3 </t>
  </si>
  <si>
    <t>Таблица 5.4.4.</t>
  </si>
  <si>
    <t>Форма 6.1.</t>
  </si>
  <si>
    <t>Форма 6.2.</t>
  </si>
  <si>
    <t>Факторы, определяющие характер  хозяйственной деятельности   предприятия</t>
  </si>
  <si>
    <t>Mundfish (ООО «Mundfish»)</t>
  </si>
  <si>
    <t>компьютерные видеоигры (основной продукт — игра Atomic Heart), дополнения (DLC), будущие проекты игр.</t>
  </si>
  <si>
    <t>геймеры по всему миру, в основном пользователи PC, PlayStation, Xbox; аудитория в России, СНГ, США, Европе, Азии.</t>
  </si>
  <si>
    <t>издатели (VK Play, 4Divinity, Focus Entertainment), цифровые платформы (Steam, Xbox Game Pass, PlayStation Store).</t>
  </si>
  <si>
    <t>цифровые ресурсы и лицензии (Unity/Unreal Engine, middleware), труд программистов, дизайнеров, художников, маркетинговые сервисы.</t>
  </si>
  <si>
    <t>Разработка и издание компьютерных видеоигр, основной проект — Atomic Heart и будущие игровые продукты.</t>
  </si>
  <si>
    <t>Игроки по всему миру: пользователи ПК, PlayStation и Xbox; основная аудитория — Россия, СНГ, США, Европа, Азия.</t>
  </si>
  <si>
    <t>Уникальный игровой опыт: атмосферный мир, сюжет с элементами альтернативной истории СССР, высококачественная графика и инновационный геймплей.</t>
  </si>
  <si>
    <r>
      <t xml:space="preserve">Выпуск и успешный релиз </t>
    </r>
    <r>
      <rPr>
        <i/>
        <sz val="12"/>
        <color theme="1"/>
        <rFont val="Times New Roman"/>
        <family val="1"/>
      </rPr>
      <t>Atomic Heart</t>
    </r>
    <r>
      <rPr>
        <sz val="12"/>
        <color theme="1"/>
        <rFont val="Times New Roman"/>
        <family val="1"/>
      </rPr>
      <t xml:space="preserve"> (2023), признание в игровой индустрии, расширение присутствия на международных рынках, привлечение инвестиций и партнёрств с крупными издателями.</t>
    </r>
  </si>
  <si>
    <r>
      <t xml:space="preserve">Разработка дополнений (DLC) для </t>
    </r>
    <r>
      <rPr>
        <i/>
        <sz val="12"/>
        <color theme="1"/>
        <rFont val="Times New Roman"/>
        <family val="1"/>
      </rPr>
      <t>Atomic Heart</t>
    </r>
    <r>
      <rPr>
        <sz val="12"/>
        <color theme="1"/>
        <rFont val="Times New Roman"/>
        <family val="1"/>
      </rPr>
      <t>, выпуск новых проектов, расширение продуктовой линейки и укрепление позиций на мировом игровом рынке.</t>
    </r>
  </si>
  <si>
    <t>ООО «Mundfish»</t>
  </si>
  <si>
    <t>Разработка и издание компьютерных видеоигр. Основной продукт — Atomic Heart, дополнения (DLC) и будущие игровые проекты.</t>
  </si>
  <si>
    <t>Игроки по всему миру: пользователи ПК, PlayStation и Xbox. Основная аудитория — Россия, СНГ, Европа, США и Азия.</t>
  </si>
  <si>
    <t>Издатели и партнёры: VK Play, Focus Entertainment, 4Divinity; цифровые площадки: Steam, Xbox Game Pass, PlayStation Store.</t>
  </si>
  <si>
    <t>Цифровые технологии (Unreal Engine, middleware), труд программистов, дизайнеров, художников, а также маркетинговые сервисы.</t>
  </si>
  <si>
    <t>23/25</t>
  </si>
  <si>
    <t>Mundfish останется независимой российской студией, известной по игре Atomic Heart, и продолжит развивать собственные игровые проекты в жанре action-RPG и шутеров. Компания укрепит позиции на рынке СНГ и сохранит международное присутствие через издателей-партнёров.</t>
  </si>
  <si>
    <t>Игроки будут отмечать оригинальный стиль, атмосферу и внимание к деталям в играх Mundfish, а также качество визуала и звукового дизайна.</t>
  </si>
  <si>
    <t>Конкуренты будут рассматривать Mundfish как стабильную студию среднего размера с сильным визуальным стилем и уникальной тематикой, ориентированной на рынок СНГ и международную аудиторию.</t>
  </si>
  <si>
    <t>Сотрудники будут воспринимать Mundfish как современное творческое место работы, где ценятся инициативность, дизайн-мышление и командная работа.</t>
  </si>
  <si>
    <t>Основные решения будут приниматься руководством и креативным директором, структура останется проектной (по игровым командам), коммуникации — через внутренние платформы и издательские партнёрства.</t>
  </si>
  <si>
    <t>Недостатки: ограниченный доступ к международным инвестициям и санкционные риски. Возможности: развитие локальных технологий, рост спроса на отечественные игры, поддержка от VK Play и российских издателей.</t>
  </si>
  <si>
    <t>Ключевым фактором успеха станет способность сохранять качество контента, развивать собственные IP и поддерживать лояльность аудитории через регулярные обновления и новые проекты.</t>
  </si>
  <si>
    <t>Развивать Mundfish как устойчивую российскую студию, создающую оригинальные атмосферные игры с высоким качеством исполнения и узнаваемым стилем, востребованные игроками в России и за её пределами.</t>
  </si>
  <si>
    <t>являемся стабильной игровой студией, выпускающей оригинальные проекты и поддерживающей интерес аудитории.</t>
  </si>
  <si>
    <t>...создавать качественные игры, объединяющие сильный визуальный стиль, сюжет и инновационный геймплей.</t>
  </si>
  <si>
    <t>...соблюдать высокие стандарты качества, уважать игроков и партнёров, быть открытыми к обратной связи.</t>
  </si>
  <si>
    <t>...игроки на ПК и консолях, интересующиеся сюжетными шутерами и атмосферными мирами.</t>
  </si>
  <si>
    <t>...даём им возможность получить эмоциональный и захватывающий игровой опыт, который объединяет искусство, музыку и технологии.</t>
  </si>
  <si>
    <t>...мы предлагаем оригинальные идеи, высокое качество визуала и честное отношение к аудитории.</t>
  </si>
  <si>
    <t>...всегда стараемся превзойти их ожидания и предоставить продукт, достойный их доверия.</t>
  </si>
  <si>
    <t>...объединяем талантливых разработчиков, художников и инженеров, которые увлечены своим делом.</t>
  </si>
  <si>
    <t>...используем уникальную художественную эстетику, вдохновлённую советской ретро-футуристикой, и разрабатываем собственные решения для оптимизации игрового процесса.</t>
  </si>
  <si>
    <t>...честности перед игроками, уважению к интеллектуальной собственности и созданию контента, не нарушающего моральные нормы.</t>
  </si>
  <si>
    <t>...прозрачностью, гибкостью и уважением к мнению сотрудников.</t>
  </si>
  <si>
    <t>...они будут вдохновлять команду, поддерживать творческую свободу и брать ответственность за результаты.</t>
  </si>
  <si>
    <t>...они будут проявлять инициативу, сотрудничать в команде и стремиться к профессиональному росту.</t>
  </si>
  <si>
    <t>...главной ценностью и источником инноваций.</t>
  </si>
  <si>
    <t>...открытостью, диалогом и стремлением укреплять имидж российской игровой индустрии.</t>
  </si>
  <si>
    <t>...развитие отечественного геймдева, создание рабочих мест и продвижение культурного потенциала России.</t>
  </si>
  <si>
    <t>...партнёров в деле развития цифровой культуры и творческих индустрий.</t>
  </si>
  <si>
    <t>...популяризируем российские технологии и креативные профессии среди молодёжи.</t>
  </si>
  <si>
    <t>...ответственным подходом к использованию ресурсов и минимизацией экологического следа в цифровом производстве.</t>
  </si>
  <si>
    <t>...уважением и стремлением к честной конкуренции на международном рынке.</t>
  </si>
  <si>
    <t>≈ 2,0 млрд долл. США (2024 г.)</t>
  </si>
  <si>
    <t>Согласно IMARC Group, объём рынка видеоигр в России в 2024 г. составил около 2 млрд долларов США.</t>
  </si>
  <si>
    <t>Не применимо (продукт нематериальный — программное обеспечение).</t>
  </si>
  <si>
    <t>CAGR ≈ 5,18 % (2025–2033 гг.)</t>
  </si>
  <si>
    <t>Прогноз IMARC Group указывает на устойчивый рост рынка в ближайшие годы.</t>
  </si>
  <si>
    <t>Стадия роста / ранней зрелости</t>
  </si>
  <si>
    <t>Рынок видеоигр в России находится в фазе стабильного роста и технологического развития.</t>
  </si>
  <si>
    <t>Национальный / международный</t>
  </si>
  <si>
    <t>Конкуренция ведётся как на внутреннем рынке, так и на международном уровне (через платформы Steam, VK Play и др.).</t>
  </si>
  <si>
    <t>Множество небольших студий + несколько крупных</t>
  </si>
  <si>
    <t>В отрасли доминируют несколько известных студий (Mundfish, 1C, Gaijin, My.Games) при наличии множества инди-разработчиков.</t>
  </si>
  <si>
    <t>Долевое распределение между ведущими и малыми студиями</t>
  </si>
  <si>
    <t>Крупные компании занимают основную долю в доходах, но рынок остается открытым для инди-проектов.</t>
  </si>
  <si>
    <t>≈ 25 млн игроков (Россия)</t>
  </si>
  <si>
    <t>По данным ECIGames (2024), в России около 25 млн активных геймеров с разным уровнем дохода.</t>
  </si>
  <si>
    <t>Низкая / умеренная</t>
  </si>
  <si>
    <t>Большинство студий занимаются разработкой, а издательские и дистрибуционные функции осуществляются партнёрами.</t>
  </si>
  <si>
    <t>Высокие</t>
  </si>
  <si>
    <t>Высокие затраты на разработку, маркетинг и риск неокупаемости проектов ограничивают новичков.</t>
  </si>
  <si>
    <t>Средние</t>
  </si>
  <si>
    <t>Отрасль достаточно мобильна, но ликвидация проектов требует списания инвестиций и затрат на разработку.</t>
  </si>
  <si>
    <t>Частые обновления и инновации</t>
  </si>
  <si>
    <t>Используются новые игровые движки, технологии AI и VR; высокий темп обновлений.</t>
  </si>
  <si>
    <t>Частые обновления (DLC, патчи)</t>
  </si>
  <si>
    <t>Продукты обновляются регулярно, выпускаются дополнения и улучшения.</t>
  </si>
  <si>
    <t>Высокая</t>
  </si>
  <si>
    <t>Игры отличаются оригинальным дизайном и стилем, ориентированы на разные аудитории.</t>
  </si>
  <si>
    <t>Присутствует</t>
  </si>
  <si>
    <t>Крупные студии имеют преимущество в затратах на единицу продукции благодаря масштабу.</t>
  </si>
  <si>
    <t>Практический опыт в индустрии имеет решающее значение для качества игр и успеха проектов.</t>
  </si>
  <si>
    <t>Среднее / высокое</t>
  </si>
  <si>
    <t>Команды работают по проектной структуре и используют ресурсы максимально эффективно.</t>
  </si>
  <si>
    <t>≈ 10–15 % (оценка по данным Newzoo)</t>
  </si>
  <si>
    <t>Показатель варьируется в зависимости от успешности релизов и доли рынка.</t>
  </si>
  <si>
    <t>Недостаточно данных для оценки (в зависимости от масштаба студии).</t>
  </si>
  <si>
    <t>Средняя</t>
  </si>
  <si>
    <t>Требуются инвестиции в технологии и контент, но ниже, чем в производственных отраслях.</t>
  </si>
  <si>
    <t>Падение доходов населения снижает платёжеспособный спрос на игры.</t>
  </si>
  <si>
    <t>Умеренное</t>
  </si>
  <si>
    <t>Расширение производства возможное при дополнительных инвестициях в кадры и маркетинг.</t>
  </si>
  <si>
    <r>
      <t>Общий объем производства (т, шт., м</t>
    </r>
    <r>
      <rPr>
        <vertAlign val="super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 xml:space="preserve"> и т. п.).  </t>
    </r>
  </si>
  <si>
    <t>—</t>
  </si>
  <si>
    <t>Положительное — рост доходов способствует увеличению спроса на игры и развлечения.</t>
  </si>
  <si>
    <t>Оценка (влияние на предприятие)</t>
  </si>
  <si>
    <t>2. Сбои в поставках продукции</t>
  </si>
  <si>
    <t>Отрицательное — ограничения логистики и санкции осложняют работу с зарубежными партнёрами.</t>
  </si>
  <si>
    <t>Положительное — расширяет возможности по выбору издателей и технологических решений внутри России.</t>
  </si>
  <si>
    <t>Отрицательное — усложняет найм иностранных специалистов и удалённое сотрудничество.</t>
  </si>
  <si>
    <t>5. Появление товаров-заменителей</t>
  </si>
  <si>
    <t>Отрицательное — растёт конкуренция со стороны западных и мобильных игр.</t>
  </si>
  <si>
    <t>Положительное — новые игровые движки (Unreal Engine 5, AI-системы) повышают качество продукции.</t>
  </si>
  <si>
    <t>Положительное — способствует развитию онлайн-платформ (VK Play, RuStore) и продвижению отечественных игр.</t>
  </si>
  <si>
    <t>Двоякое — игроки чаще выбирают free-to-play-модели, что требует адаптации монетизации.</t>
  </si>
  <si>
    <t>Положительное — даёт шанс укрепить имидж и занять долю рынка.</t>
  </si>
  <si>
    <t>Отрицательное — сокращает выбор зарубежных сервисов (Steam, Epic Store).</t>
  </si>
  <si>
    <t>Нейтральное — не оказывает прямого влияния на цифровую индустрию.</t>
  </si>
  <si>
    <t>12. Появление принципиально новой продукции</t>
  </si>
  <si>
    <t>Отрицательное — риск потери интереса аудитории при выходе революционных проектов конкурентов.</t>
  </si>
  <si>
    <t>Двоякое — тренды гейминга быстро меняются, требует гибкости в разработке.</t>
  </si>
  <si>
    <t>Отрицательное — повышает издержки, снижает прибыль.</t>
  </si>
  <si>
    <t>15. Снижение цен на сырьё и готовую продукцию</t>
  </si>
  <si>
    <t>Нейтральное — отрасль не зависит от сырья.</t>
  </si>
  <si>
    <t>Отрицательное — сокращает расходы на развлечения и покупку игр.</t>
  </si>
  <si>
    <t>17. Скачки курсов валют</t>
  </si>
  <si>
    <t>Отрицательное — влияют на закупку зарубежных технологий и выплату гонораров.</t>
  </si>
  <si>
    <t>Положительное — улучшает организацию команд и проектное управление.</t>
  </si>
  <si>
    <t>Двоякое — может повлиять на гибкие формы занятости (фриланс, удалёнка).</t>
  </si>
  <si>
    <t>Отрицательное — снижает доступность кадров и увеличивает расходы на зарплаты.</t>
  </si>
  <si>
    <t>Положительное — стабилизирует финансовое планирование.</t>
  </si>
  <si>
    <t>Положительное — повышает гибкость ведения бизнеса.</t>
  </si>
  <si>
    <t>Положительное — укрепляет социальную защищённость сотрудников.</t>
  </si>
  <si>
    <t>Положительное — стимулирует конкуренцию между сервис-партнёрами.</t>
  </si>
  <si>
    <t>Нейтральное / слабонегативное — повышает операционные расходы дата-центров.</t>
  </si>
  <si>
    <t>Положительное — создаёт благоприятную среду для IT-бизнеса.</t>
  </si>
  <si>
    <t>Отрицательное — ограничения внешней торговли затрудняют международные продажи.</t>
  </si>
  <si>
    <t>Отрицательное — усиливает конкуренцию за аудиторию и инвестиции.</t>
  </si>
  <si>
    <t>Положительное — способствует стандартизации и повышению доверия к отечественным играм.</t>
  </si>
  <si>
    <t>1. Санкции и ограничения во внешнеэкономической деятельности.</t>
  </si>
  <si>
    <t>1. Развитие государственной поддержки IT-проектов и цифровой экономики.</t>
  </si>
  <si>
    <t>2. Рост налогов и административных требований к компаниям.</t>
  </si>
  <si>
    <t>2. Активная цифровизация экономики и развитие отечественных платформ (VK Play, RuStore).</t>
  </si>
  <si>
    <t>3. Волатильность курса рубля и рост инфляции.</t>
  </si>
  <si>
    <t>3. Быстрое технологическое развитие (внедрение AI, Unreal Engine 5, VR).</t>
  </si>
  <si>
    <t>4. Ограниченный доступ к иностранному капиталу и инвестициям.</t>
  </si>
  <si>
    <t>4. Рост популярности видеоигр среди молодёжи и увеличение аудитории игроков.</t>
  </si>
  <si>
    <t>5. Повышение цен на энергоресурсы и услуги дата-центров.</t>
  </si>
  <si>
    <t>5. Увеличение активности онлайн-сообществ и игрового комьюнити в России.</t>
  </si>
  <si>
    <t>Элемент / фактор</t>
  </si>
  <si>
    <t>Оценка (1–5)</t>
  </si>
  <si>
    <t>Обоснование / комментарий</t>
  </si>
  <si>
    <t>Производство</t>
  </si>
  <si>
    <t>Студия применяет современные технологические средства, движок Unreal, оптимизацию под GPU, сотрудничество с Nvidia.</t>
  </si>
  <si>
    <t>2. Численность занятых / производительность труда</t>
  </si>
  <si>
    <t>Команда выросла до ~100+ человек, но часть работ могла быть распределена или аутсорсирована.</t>
  </si>
  <si>
    <t>Есть QA и баг-фиксинг, но некоторые игроки жаловались на баги при запуске.</t>
  </si>
  <si>
    <t>Умеренная эффективность, но потенциал роста через оптимизацию.</t>
  </si>
  <si>
    <t>5. Возможности расширения производства / зон обслуживания</t>
  </si>
  <si>
    <t>Возможность наращивания команды, привлечение удалённых подразделений.</t>
  </si>
  <si>
    <t>Используется современное ПО, но часть оборудования могла быть обновлена недавно.</t>
  </si>
  <si>
    <t>Маркетинг</t>
  </si>
  <si>
    <t>Новая студия, рынок доля невысока, но потенциал роста.</t>
  </si>
  <si>
    <t>После успеха Atomic Heart репутация растёт.</t>
  </si>
  <si>
    <t>3. Престиж торговой марки</t>
  </si>
  <si>
    <t>IP новый, но уже получает признание.</t>
  </si>
  <si>
    <t>4. Расходы на стимулирование сбыта</t>
  </si>
  <si>
    <t>Активные маркетинговые кампании, трейлеры, промо с Nvidia и платформами.</t>
  </si>
  <si>
    <t>5. Численность сбытового персонала</t>
  </si>
  <si>
    <t>Основной канал — цифровые платформы, нет большого отдела физического сбыта.</t>
  </si>
  <si>
    <t>6. Ценовая политика / уровень цен</t>
  </si>
  <si>
    <t>Цены в пределах AAA-уровня; конкуренция вынуждает корректировки.</t>
  </si>
  <si>
    <t>7. Организационные и технические средства для сбыта</t>
  </si>
  <si>
    <t>Digital-инфраструктура, работа с платформами Steam, Xbox, VK Play.</t>
  </si>
  <si>
    <t>8. Уровень / качество обслуживания</t>
  </si>
  <si>
    <t>Есть техподдержка, выпуск патчей, но бывают жалобы пользователей.</t>
  </si>
  <si>
    <t>9. Число клиентов</t>
  </si>
  <si>
    <t>У игры уже более 10 млн игроков.</t>
  </si>
  <si>
    <t>10. Качество поступающей информации о рынке</t>
  </si>
  <si>
    <t>Команда анализирует отзывы, тенденции, но не все источники могут быть достоверны.</t>
  </si>
  <si>
    <t>Финансы и бухучёт</t>
  </si>
  <si>
    <t>1. Оценка структуры активов</t>
  </si>
  <si>
    <t>Основные активы — IP, команда, технологии, менее — физические активы.</t>
  </si>
  <si>
    <t>Привлекала инвестиции от Tencent и других, но официального рейтинга нет.</t>
  </si>
  <si>
    <t>При успешных продажах доходность высока.</t>
  </si>
  <si>
    <t>Прибыльность после окупаемости проекта вероятно была хорошей.</t>
  </si>
  <si>
    <t>Инвестиции в проект окупились благодаря высоким продажам и аудитории.</t>
  </si>
  <si>
    <t>Персонал</t>
  </si>
  <si>
    <t>1. Уровень квалификации персонала</t>
  </si>
  <si>
    <t>Привлечены профессионалы, работают над AAA-проектом.</t>
  </si>
  <si>
    <t>2. Расходы на подготовку / переподготовку</t>
  </si>
  <si>
    <t>Обучение, адаптация к новым технологиям есть, но ресурсы ограничены.</t>
  </si>
  <si>
    <t>У студии меньше опыта в маркетинге и продажах по сравнению с крупными корпорациями.</t>
  </si>
  <si>
    <t>Возможна высокая текучесть из-за нагрузок в геймдев-индустрии.</t>
  </si>
  <si>
    <t>Исследования и разработки</t>
  </si>
  <si>
    <t>Используют индустриальные стандарты, движок Unreal, технологии от Nvidia.</t>
  </si>
  <si>
    <t>Анонсированы Atomic Heart 2, The Cube, имя лейбла Mundfish Powerhouse.</t>
  </si>
  <si>
    <t>Расходы значительные, но не публичны; компания реинвестирует прибыль.</t>
  </si>
  <si>
    <t>Управление и организационная культура</t>
  </si>
  <si>
    <t>Руководство включает опытных основателей, но масштаб менеджмента ограничен.</t>
  </si>
  <si>
    <t>Изменения происходят, студия адаптируется (смена юрисдикции, PR-позиция).</t>
  </si>
  <si>
    <t>3. Чёткость разделения полномочий и функций</t>
  </si>
  <si>
    <t>В небольших командах часто пересекаются роли; официально структуры формализуются.</t>
  </si>
  <si>
    <t>4. Тип организационной структуры управления</t>
  </si>
  <si>
    <t>Матричная или гибридная, подходящая для проектов, но не крупная корпорация.</t>
  </si>
  <si>
    <t>5. Качество используемой информации в управлении</t>
  </si>
  <si>
    <t>Используются метрики, аналитика, отзывы, но часть решений – интуитивные.</t>
  </si>
  <si>
    <t>6. Степень гибкости структуры управления</t>
  </si>
  <si>
    <t>Возможность масштабирования, удалёнка, адаптация к изменениям.</t>
  </si>
  <si>
    <t>Х</t>
  </si>
  <si>
    <t>№1 Рост рынка игр</t>
  </si>
  <si>
    <t>№2 Новые технологии ИИ/ VR</t>
  </si>
  <si>
    <t>№3 Развитие русского игрового бизнеса</t>
  </si>
  <si>
    <t>№2 Жесткая конкуренция</t>
  </si>
  <si>
    <t>№1 Адаптивность к быстрорастущего рынка</t>
  </si>
  <si>
    <t>№3 Социальные/ репутационные риски</t>
  </si>
  <si>
    <t>№3</t>
  </si>
  <si>
    <t>Через 5 лет я вижу Mundfish как признанную международную студию-разработчика и издател, с сильным ядром вокруг франшизы Atomic Heart. Студия будет выпускать продолжения, ответвления и DLC, а также поддерживать сторонние проекты через лейбл Mundfish Powerhouse, выступая как творческий и производственный партнёр. Команда станет географически распределённой (офисы в Европе, Азии, Латинской Америке), технологии - более собственными или гибридными (часть инструментов создана внутри студии), а доходы - диверсифицированными (игры + издательство + мерч + лицензии).
Через 10 лет Mundfish (или её преемник) будет уже полноценным мультифраншизным издательством, конкурирующим с крупными международными игроками. Помимо Atomic Heart у компании будет несколько сильных брендов в разных жанрах. Технологически студия будет на острие: ИИ-ассистированные разработки, процедурная генерация, адаптивные мировые системы. Компания также будет активно работать в смежных медиа: кино, VR/AR, трансмедийные проекты. Организационная структура будет зрелой и чёткой: подразделения R&amp;D, маркетинга, издательства, локализации и внутренних студий, с централизованным управлением и глобальным охватом.</t>
  </si>
  <si>
    <t>К событиям, которые будут способствовать продвижению к стратегии, я отношу: успешный релиз Atomic Heart 2 с высоким качеством, который укрепит бренд; удачный запуск проекта The Cube как мультиплеерной игры, расширяющий аудиторию; активное развитие подразделения Mundfish Powerhouse как издательского лейбла; рост глобального рынка игр и спроса на уникальные проекты; внедрение передовых технологий (ИИ, процедурная генерация, собственные инструментальные решения); качественная локализация и маркетинг в новых регионах; получение наград и признания в индустрии.</t>
  </si>
  <si>
    <t>При реализации амбициозной стратегии могут проявиться следующие внутренние проблемы: рост команды ослабит культуру — появления бюрократии, неравномерный стиль работы и разобщенность между подразделениями; технический долг - устаревшие решения, непроработанная архитектура приведут к сложностям при новых проектах; нехватка ключевых компетенций - если начать выпускать мультиплеерные или live-сервисы, может не хватить опыта внутри команды; выгорание персонала и текучесть - из-за перегрузок и дедлайнов ключевые сотрудники могут уйти; и, наконец, проблемы координации внешних подрядчиков и субподрядов - несоответствие стилю, задержки и снижение качества.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</si>
</sst>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vertAlign val="subscript"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 diagonalDown="1">
      <left style="medium">
        <color rgb="FF000000"/>
      </left>
      <right/>
      <top style="medium">
        <color rgb="FF000000"/>
      </top>
      <bottom/>
      <diagonal style="thin">
        <color indexed="64"/>
      </diagonal>
    </border>
    <border diagonalDown="1">
      <left/>
      <right style="medium">
        <color rgb="FF000000"/>
      </right>
      <top style="medium">
        <color rgb="FF000000"/>
      </top>
      <bottom/>
      <diagonal style="thin">
        <color indexed="64"/>
      </diagonal>
    </border>
    <border diagonalDown="1">
      <left style="medium">
        <color rgb="FF000000"/>
      </left>
      <right/>
      <top/>
      <bottom/>
      <diagonal style="thin">
        <color indexed="64"/>
      </diagonal>
    </border>
    <border diagonalDown="1">
      <left/>
      <right style="medium">
        <color rgb="FF000000"/>
      </right>
      <top/>
      <bottom/>
      <diagonal style="thin">
        <color indexed="64"/>
      </diagonal>
    </border>
    <border diagonalDown="1">
      <left style="medium">
        <color rgb="FF000000"/>
      </left>
      <right/>
      <top/>
      <bottom style="medium">
        <color rgb="FF000000"/>
      </bottom>
      <diagonal style="thin">
        <color indexed="64"/>
      </diagonal>
    </border>
    <border diagonalDown="1">
      <left/>
      <right style="medium">
        <color rgb="FF000000"/>
      </right>
      <top/>
      <bottom style="medium">
        <color rgb="FF000000"/>
      </bottom>
      <diagonal style="thin">
        <color indexed="64"/>
      </diagonal>
    </border>
    <border>
      <left style="medium">
        <color rgb="FF000000"/>
      </left>
      <right/>
      <top/>
      <bottom/>
      <diagonal/>
    </border>
    <border diagonalDown="1">
      <left style="medium">
        <color rgb="FF000000"/>
      </left>
      <right/>
      <top style="medium">
        <color rgb="FF000000"/>
      </top>
      <bottom/>
      <diagonal style="thin">
        <color rgb="FF000000"/>
      </diagonal>
    </border>
    <border diagonalDown="1">
      <left/>
      <right style="medium">
        <color rgb="FF000000"/>
      </right>
      <top style="medium">
        <color rgb="FF000000"/>
      </top>
      <bottom/>
      <diagonal style="thin">
        <color rgb="FF000000"/>
      </diagonal>
    </border>
    <border diagonalDown="1">
      <left style="medium">
        <color rgb="FF000000"/>
      </left>
      <right/>
      <top/>
      <bottom style="medium">
        <color rgb="FF000000"/>
      </bottom>
      <diagonal style="thin">
        <color rgb="FF000000"/>
      </diagonal>
    </border>
    <border diagonalDown="1">
      <left/>
      <right style="medium">
        <color rgb="FF000000"/>
      </right>
      <top/>
      <bottom style="medium">
        <color rgb="FF000000"/>
      </bottom>
      <diagonal style="thin">
        <color rgb="FF000000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justify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justify"/>
    </xf>
    <xf numFmtId="0" fontId="4" fillId="0" borderId="0" xfId="0" applyFont="1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4" xfId="0" applyBorder="1" applyAlignment="1">
      <alignment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justify" vertical="top" wrapText="1"/>
    </xf>
    <xf numFmtId="0" fontId="7" fillId="0" borderId="6" xfId="0" applyFont="1" applyBorder="1" applyAlignment="1">
      <alignment horizontal="justify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justify" vertical="top" textRotation="90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textRotation="90" wrapText="1"/>
    </xf>
    <xf numFmtId="0" fontId="9" fillId="0" borderId="0" xfId="0" applyFont="1"/>
    <xf numFmtId="0" fontId="1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10" fillId="0" borderId="8" xfId="0" applyFont="1" applyBorder="1"/>
    <xf numFmtId="0" fontId="1" fillId="0" borderId="8" xfId="0" applyFont="1" applyBorder="1" applyAlignment="1">
      <alignment horizontal="justify" vertical="top" wrapText="1"/>
    </xf>
    <xf numFmtId="0" fontId="11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13" fillId="0" borderId="8" xfId="0" applyFont="1" applyBorder="1"/>
    <xf numFmtId="0" fontId="13" fillId="0" borderId="8" xfId="0" applyFont="1" applyBorder="1" applyAlignment="1">
      <alignment horizontal="justify" vertical="center"/>
    </xf>
    <xf numFmtId="0" fontId="13" fillId="0" borderId="8" xfId="0" applyFont="1" applyBorder="1" applyAlignment="1">
      <alignment horizontal="justify" vertical="center" wrapText="1"/>
    </xf>
    <xf numFmtId="0" fontId="13" fillId="0" borderId="8" xfId="0" applyFont="1" applyBorder="1" applyAlignment="1">
      <alignment horizontal="center" vertical="top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8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justify" vertical="center" wrapText="1"/>
    </xf>
    <xf numFmtId="0" fontId="11" fillId="0" borderId="8" xfId="0" applyFont="1" applyBorder="1" applyAlignment="1">
      <alignment vertical="center" wrapText="1"/>
    </xf>
    <xf numFmtId="0" fontId="1" fillId="2" borderId="4" xfId="0" applyFont="1" applyFill="1" applyBorder="1" applyAlignment="1">
      <alignment horizontal="justify" vertical="top" wrapText="1"/>
    </xf>
    <xf numFmtId="0" fontId="3" fillId="2" borderId="4" xfId="0" applyFont="1" applyFill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2" borderId="4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2" fillId="0" borderId="28" xfId="0" applyFont="1" applyBorder="1" applyAlignment="1">
      <alignment wrapText="1"/>
    </xf>
    <xf numFmtId="0" fontId="2" fillId="0" borderId="29" xfId="0" applyFont="1" applyBorder="1" applyAlignment="1">
      <alignment wrapText="1"/>
    </xf>
    <xf numFmtId="0" fontId="1" fillId="0" borderId="7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2" fillId="0" borderId="12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1" fillId="0" borderId="1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justify" vertical="top" wrapText="1"/>
    </xf>
    <xf numFmtId="0" fontId="1" fillId="0" borderId="9" xfId="0" applyFont="1" applyBorder="1" applyAlignment="1">
      <alignment horizontal="justify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18" xfId="0" applyFont="1" applyBorder="1" applyAlignment="1">
      <alignment horizontal="right" vertical="top" wrapText="1"/>
    </xf>
    <xf numFmtId="0" fontId="2" fillId="0" borderId="19" xfId="0" applyFont="1" applyBorder="1" applyAlignment="1">
      <alignment horizontal="right" vertical="top" wrapText="1"/>
    </xf>
    <xf numFmtId="0" fontId="1" fillId="0" borderId="18" xfId="0" applyFont="1" applyBorder="1" applyAlignment="1">
      <alignment horizontal="justify" vertical="top" wrapText="1"/>
    </xf>
    <xf numFmtId="0" fontId="1" fillId="0" borderId="19" xfId="0" applyFont="1" applyBorder="1" applyAlignment="1">
      <alignment horizontal="justify" vertical="top" wrapText="1"/>
    </xf>
    <xf numFmtId="0" fontId="2" fillId="0" borderId="18" xfId="0" applyFont="1" applyBorder="1" applyAlignment="1">
      <alignment horizontal="justify" vertical="top" wrapText="1"/>
    </xf>
    <xf numFmtId="0" fontId="2" fillId="0" borderId="19" xfId="0" applyFont="1" applyBorder="1" applyAlignment="1">
      <alignment horizontal="justify" vertical="top" wrapText="1"/>
    </xf>
    <xf numFmtId="0" fontId="2" fillId="0" borderId="20" xfId="0" applyFont="1" applyBorder="1" applyAlignment="1">
      <alignment horizontal="justify" vertical="top" wrapText="1"/>
    </xf>
    <xf numFmtId="0" fontId="2" fillId="0" borderId="21" xfId="0" applyFont="1" applyBorder="1" applyAlignment="1">
      <alignment horizontal="justify" vertical="top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23" xfId="0" applyFont="1" applyBorder="1" applyAlignment="1">
      <alignment horizontal="justify" vertical="top" wrapText="1"/>
    </xf>
    <xf numFmtId="0" fontId="4" fillId="0" borderId="24" xfId="0" applyFont="1" applyBorder="1" applyAlignment="1">
      <alignment horizontal="justify" vertical="top" wrapText="1"/>
    </xf>
    <xf numFmtId="0" fontId="4" fillId="0" borderId="25" xfId="0" applyFont="1" applyBorder="1" applyAlignment="1">
      <alignment horizontal="justify" vertical="top" wrapText="1"/>
    </xf>
    <xf numFmtId="0" fontId="4" fillId="0" borderId="26" xfId="0" applyFont="1" applyBorder="1" applyAlignment="1">
      <alignment horizontal="justify" vertical="top" wrapText="1"/>
    </xf>
    <xf numFmtId="0" fontId="4" fillId="0" borderId="15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90" zoomScaleNormal="90" workbookViewId="0">
      <selection activeCell="B2" sqref="B2"/>
    </sheetView>
  </sheetViews>
  <sheetFormatPr defaultRowHeight="14.4" x14ac:dyDescent="0.3"/>
  <cols>
    <col min="1" max="1" width="26.6640625" customWidth="1"/>
    <col min="2" max="2" width="32.6640625" customWidth="1"/>
  </cols>
  <sheetData>
    <row r="1" spans="1:2" ht="15.6" x14ac:dyDescent="0.3">
      <c r="A1" s="1" t="s">
        <v>0</v>
      </c>
    </row>
    <row r="2" spans="1:2" ht="62.4" x14ac:dyDescent="0.3">
      <c r="A2" s="44" t="s">
        <v>355</v>
      </c>
    </row>
    <row r="3" spans="1:2" ht="15.6" x14ac:dyDescent="0.3">
      <c r="A3" s="2"/>
    </row>
    <row r="4" spans="1:2" ht="15.6" x14ac:dyDescent="0.3">
      <c r="A4" s="47" t="s">
        <v>1</v>
      </c>
      <c r="B4" s="47" t="s">
        <v>2</v>
      </c>
    </row>
    <row r="5" spans="1:2" ht="15.6" x14ac:dyDescent="0.3">
      <c r="A5" s="47" t="s">
        <v>3</v>
      </c>
      <c r="B5" s="46" t="s">
        <v>356</v>
      </c>
    </row>
    <row r="6" spans="1:2" ht="62.4" x14ac:dyDescent="0.3">
      <c r="A6" s="47" t="s">
        <v>44</v>
      </c>
      <c r="B6" s="47" t="s">
        <v>357</v>
      </c>
    </row>
    <row r="7" spans="1:2" ht="78" x14ac:dyDescent="0.3">
      <c r="A7" s="47" t="s">
        <v>5</v>
      </c>
      <c r="B7" s="47" t="s">
        <v>358</v>
      </c>
    </row>
    <row r="8" spans="1:2" ht="62.4" x14ac:dyDescent="0.3">
      <c r="A8" s="47" t="s">
        <v>6</v>
      </c>
      <c r="B8" s="47" t="s">
        <v>359</v>
      </c>
    </row>
    <row r="9" spans="1:2" ht="93.6" x14ac:dyDescent="0.3">
      <c r="A9" s="47" t="s">
        <v>7</v>
      </c>
      <c r="B9" s="47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7"/>
  <sheetViews>
    <sheetView zoomScale="90" workbookViewId="0">
      <selection activeCell="B7" sqref="B7"/>
    </sheetView>
  </sheetViews>
  <sheetFormatPr defaultRowHeight="14.4" x14ac:dyDescent="0.3"/>
  <cols>
    <col min="1" max="1" width="42.5546875" customWidth="1"/>
    <col min="2" max="2" width="36.33203125" customWidth="1"/>
  </cols>
  <sheetData>
    <row r="3" spans="1:2" ht="62.4" x14ac:dyDescent="0.3">
      <c r="A3" s="49" t="s">
        <v>45</v>
      </c>
      <c r="B3" s="48" t="s">
        <v>361</v>
      </c>
    </row>
    <row r="4" spans="1:2" ht="62.4" x14ac:dyDescent="0.3">
      <c r="A4" s="49" t="s">
        <v>46</v>
      </c>
      <c r="B4" s="48" t="s">
        <v>362</v>
      </c>
    </row>
    <row r="5" spans="1:2" ht="93.6" x14ac:dyDescent="0.3">
      <c r="A5" s="49" t="s">
        <v>47</v>
      </c>
      <c r="B5" s="48" t="s">
        <v>363</v>
      </c>
    </row>
    <row r="6" spans="1:2" ht="93.6" x14ac:dyDescent="0.3">
      <c r="A6" s="49" t="s">
        <v>48</v>
      </c>
      <c r="B6" s="48" t="s">
        <v>364</v>
      </c>
    </row>
    <row r="7" spans="1:2" ht="78" x14ac:dyDescent="0.3">
      <c r="A7" s="49" t="s">
        <v>49</v>
      </c>
      <c r="B7" s="48" t="s">
        <v>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54"/>
  <sheetViews>
    <sheetView topLeftCell="A49" zoomScale="130" zoomScaleNormal="130" workbookViewId="0">
      <selection activeCell="B53" sqref="B53"/>
    </sheetView>
  </sheetViews>
  <sheetFormatPr defaultRowHeight="14.4" x14ac:dyDescent="0.3"/>
  <cols>
    <col min="1" max="1" width="34.77734375" customWidth="1"/>
    <col min="2" max="2" width="33.44140625" customWidth="1"/>
    <col min="7" max="7" width="32.88671875" customWidth="1"/>
    <col min="8" max="8" width="29.44140625" customWidth="1"/>
  </cols>
  <sheetData>
    <row r="2" spans="1:8" ht="18" x14ac:dyDescent="0.35">
      <c r="A2" s="1" t="s">
        <v>0</v>
      </c>
      <c r="G2" s="34" t="s">
        <v>309</v>
      </c>
    </row>
    <row r="3" spans="1:8" ht="47.4" x14ac:dyDescent="0.35">
      <c r="A3" s="44" t="s">
        <v>355</v>
      </c>
      <c r="G3" s="45" t="s">
        <v>310</v>
      </c>
    </row>
    <row r="4" spans="1:8" ht="18.600000000000001" thickBot="1" x14ac:dyDescent="0.4">
      <c r="A4" s="1"/>
      <c r="G4" s="15"/>
    </row>
    <row r="5" spans="1:8" ht="16.2" thickBot="1" x14ac:dyDescent="0.35">
      <c r="A5" s="2"/>
      <c r="G5" s="7" t="s">
        <v>311</v>
      </c>
      <c r="H5" s="13" t="s">
        <v>53</v>
      </c>
    </row>
    <row r="6" spans="1:8" ht="172.2" thickBot="1" x14ac:dyDescent="0.35">
      <c r="A6" s="3" t="s">
        <v>1</v>
      </c>
      <c r="B6" s="4" t="s">
        <v>2</v>
      </c>
      <c r="G6" s="9" t="s">
        <v>312</v>
      </c>
      <c r="H6" s="6">
        <v>5</v>
      </c>
    </row>
    <row r="7" spans="1:8" ht="47.4" thickBot="1" x14ac:dyDescent="0.35">
      <c r="A7" s="5" t="s">
        <v>3</v>
      </c>
      <c r="B7" s="6" t="s">
        <v>366</v>
      </c>
      <c r="G7" s="9" t="s">
        <v>313</v>
      </c>
      <c r="H7" s="6">
        <v>4</v>
      </c>
    </row>
    <row r="8" spans="1:8" ht="78.599999999999994" thickBot="1" x14ac:dyDescent="0.35">
      <c r="A8" s="5" t="s">
        <v>4</v>
      </c>
      <c r="B8" s="6" t="s">
        <v>367</v>
      </c>
      <c r="G8" s="9" t="s">
        <v>314</v>
      </c>
      <c r="H8" s="6">
        <v>5</v>
      </c>
    </row>
    <row r="9" spans="1:8" ht="78.599999999999994" thickBot="1" x14ac:dyDescent="0.35">
      <c r="A9" s="5" t="s">
        <v>5</v>
      </c>
      <c r="B9" s="6" t="s">
        <v>368</v>
      </c>
      <c r="G9" s="9" t="s">
        <v>315</v>
      </c>
      <c r="H9" s="6">
        <v>5</v>
      </c>
    </row>
    <row r="10" spans="1:8" ht="172.2" thickBot="1" x14ac:dyDescent="0.35">
      <c r="A10" s="5" t="s">
        <v>6</v>
      </c>
      <c r="B10" s="6" t="s">
        <v>369</v>
      </c>
      <c r="G10" s="9" t="s">
        <v>316</v>
      </c>
      <c r="H10" s="6">
        <v>4</v>
      </c>
    </row>
    <row r="11" spans="1:8" ht="78.599999999999994" thickBot="1" x14ac:dyDescent="0.35">
      <c r="A11" s="5" t="s">
        <v>7</v>
      </c>
      <c r="B11" s="6" t="s">
        <v>370</v>
      </c>
      <c r="G11" s="9" t="s">
        <v>245</v>
      </c>
      <c r="H11" s="6" t="s">
        <v>371</v>
      </c>
    </row>
    <row r="12" spans="1:8" ht="15.6" x14ac:dyDescent="0.3">
      <c r="A12" s="2"/>
    </row>
    <row r="13" spans="1:8" ht="15.6" x14ac:dyDescent="0.3">
      <c r="A13" s="2"/>
    </row>
    <row r="14" spans="1:8" ht="15.6" x14ac:dyDescent="0.3">
      <c r="A14" s="1" t="s">
        <v>8</v>
      </c>
    </row>
    <row r="15" spans="1:8" ht="15.6" x14ac:dyDescent="0.3">
      <c r="A15" s="1" t="s">
        <v>9</v>
      </c>
    </row>
    <row r="16" spans="1:8" ht="16.2" thickBot="1" x14ac:dyDescent="0.35">
      <c r="A16" s="1"/>
    </row>
    <row r="17" spans="1:2" ht="16.2" thickBot="1" x14ac:dyDescent="0.35">
      <c r="A17" s="7" t="s">
        <v>10</v>
      </c>
      <c r="B17" s="8" t="s">
        <v>11</v>
      </c>
    </row>
    <row r="18" spans="1:2" ht="156.6" thickBot="1" x14ac:dyDescent="0.35">
      <c r="A18" s="9" t="s">
        <v>12</v>
      </c>
      <c r="B18" s="6" t="s">
        <v>372</v>
      </c>
    </row>
    <row r="19" spans="1:2" ht="78.599999999999994" thickBot="1" x14ac:dyDescent="0.35">
      <c r="A19" s="9" t="s">
        <v>13</v>
      </c>
      <c r="B19" s="6" t="s">
        <v>373</v>
      </c>
    </row>
    <row r="20" spans="1:2" ht="109.8" thickBot="1" x14ac:dyDescent="0.35">
      <c r="A20" s="9" t="s">
        <v>14</v>
      </c>
      <c r="B20" s="6" t="s">
        <v>374</v>
      </c>
    </row>
    <row r="21" spans="1:2" ht="78.599999999999994" thickBot="1" x14ac:dyDescent="0.35">
      <c r="A21" s="9" t="s">
        <v>15</v>
      </c>
      <c r="B21" s="6" t="s">
        <v>375</v>
      </c>
    </row>
    <row r="22" spans="1:2" ht="125.4" thickBot="1" x14ac:dyDescent="0.35">
      <c r="A22" s="9" t="s">
        <v>16</v>
      </c>
      <c r="B22" s="6" t="s">
        <v>376</v>
      </c>
    </row>
    <row r="23" spans="1:2" ht="31.2" x14ac:dyDescent="0.3">
      <c r="A23" s="10" t="s">
        <v>17</v>
      </c>
      <c r="B23" s="76" t="s">
        <v>377</v>
      </c>
    </row>
    <row r="24" spans="1:2" ht="16.2" thickBot="1" x14ac:dyDescent="0.35">
      <c r="A24" s="11" t="s">
        <v>18</v>
      </c>
      <c r="B24" s="77"/>
    </row>
    <row r="25" spans="1:2" ht="31.2" x14ac:dyDescent="0.3">
      <c r="A25" s="12" t="s">
        <v>19</v>
      </c>
      <c r="B25" s="76" t="s">
        <v>378</v>
      </c>
    </row>
    <row r="26" spans="1:2" ht="16.2" thickBot="1" x14ac:dyDescent="0.35">
      <c r="A26" s="9" t="s">
        <v>20</v>
      </c>
      <c r="B26" s="77"/>
    </row>
    <row r="27" spans="1:2" ht="125.4" thickBot="1" x14ac:dyDescent="0.35">
      <c r="A27" s="9" t="s">
        <v>21</v>
      </c>
      <c r="B27" s="6" t="s">
        <v>379</v>
      </c>
    </row>
    <row r="28" spans="1:2" ht="15.6" x14ac:dyDescent="0.3">
      <c r="A28" s="2"/>
    </row>
    <row r="29" spans="1:2" ht="15.6" x14ac:dyDescent="0.3">
      <c r="A29" s="2"/>
    </row>
    <row r="30" spans="1:2" ht="15.6" x14ac:dyDescent="0.3">
      <c r="A30" s="1" t="s">
        <v>22</v>
      </c>
    </row>
    <row r="31" spans="1:2" ht="15.6" x14ac:dyDescent="0.3">
      <c r="A31" s="1" t="s">
        <v>23</v>
      </c>
    </row>
    <row r="32" spans="1:2" ht="16.2" thickBot="1" x14ac:dyDescent="0.35">
      <c r="A32" s="1"/>
    </row>
    <row r="33" spans="1:2" ht="16.2" thickBot="1" x14ac:dyDescent="0.35">
      <c r="A33" s="7" t="s">
        <v>10</v>
      </c>
      <c r="B33" s="13" t="s">
        <v>11</v>
      </c>
    </row>
    <row r="34" spans="1:2" ht="78.599999999999994" thickBot="1" x14ac:dyDescent="0.35">
      <c r="A34" s="11" t="s">
        <v>24</v>
      </c>
      <c r="B34" s="14" t="s">
        <v>380</v>
      </c>
    </row>
    <row r="35" spans="1:2" ht="63" thickBot="1" x14ac:dyDescent="0.35">
      <c r="A35" s="11" t="s">
        <v>25</v>
      </c>
      <c r="B35" s="14" t="s">
        <v>381</v>
      </c>
    </row>
    <row r="36" spans="1:2" ht="63" thickBot="1" x14ac:dyDescent="0.35">
      <c r="A36" s="11" t="s">
        <v>26</v>
      </c>
      <c r="B36" s="14" t="s">
        <v>382</v>
      </c>
    </row>
    <row r="37" spans="1:2" ht="63" thickBot="1" x14ac:dyDescent="0.35">
      <c r="A37" s="11" t="s">
        <v>27</v>
      </c>
      <c r="B37" s="14" t="s">
        <v>383</v>
      </c>
    </row>
    <row r="38" spans="1:2" ht="78.599999999999994" thickBot="1" x14ac:dyDescent="0.35">
      <c r="A38" s="11" t="s">
        <v>28</v>
      </c>
      <c r="B38" s="14" t="s">
        <v>384</v>
      </c>
    </row>
    <row r="39" spans="1:2" ht="47.4" thickBot="1" x14ac:dyDescent="0.35">
      <c r="A39" s="11" t="s">
        <v>29</v>
      </c>
      <c r="B39" s="14" t="s">
        <v>385</v>
      </c>
    </row>
    <row r="40" spans="1:2" ht="47.4" thickBot="1" x14ac:dyDescent="0.35">
      <c r="A40" s="11" t="s">
        <v>30</v>
      </c>
      <c r="B40" s="14" t="s">
        <v>386</v>
      </c>
    </row>
    <row r="41" spans="1:2" ht="63" thickBot="1" x14ac:dyDescent="0.35">
      <c r="A41" s="11" t="s">
        <v>31</v>
      </c>
      <c r="B41" s="14" t="s">
        <v>387</v>
      </c>
    </row>
    <row r="42" spans="1:2" ht="94.2" thickBot="1" x14ac:dyDescent="0.35">
      <c r="A42" s="11" t="s">
        <v>32</v>
      </c>
      <c r="B42" s="14" t="s">
        <v>388</v>
      </c>
    </row>
    <row r="43" spans="1:2" ht="78.599999999999994" thickBot="1" x14ac:dyDescent="0.35">
      <c r="A43" s="11" t="s">
        <v>33</v>
      </c>
      <c r="B43" s="14" t="s">
        <v>389</v>
      </c>
    </row>
    <row r="44" spans="1:2" ht="47.4" thickBot="1" x14ac:dyDescent="0.35">
      <c r="A44" s="11" t="s">
        <v>34</v>
      </c>
      <c r="B44" s="14" t="s">
        <v>390</v>
      </c>
    </row>
    <row r="45" spans="1:2" ht="63" thickBot="1" x14ac:dyDescent="0.35">
      <c r="A45" s="9" t="s">
        <v>35</v>
      </c>
      <c r="B45" s="6" t="s">
        <v>391</v>
      </c>
    </row>
    <row r="46" spans="1:2" ht="63" thickBot="1" x14ac:dyDescent="0.35">
      <c r="A46" s="9" t="s">
        <v>36</v>
      </c>
      <c r="B46" s="6" t="s">
        <v>392</v>
      </c>
    </row>
    <row r="47" spans="1:2" ht="31.8" thickBot="1" x14ac:dyDescent="0.35">
      <c r="A47" s="9" t="s">
        <v>37</v>
      </c>
      <c r="B47" s="6" t="s">
        <v>393</v>
      </c>
    </row>
    <row r="48" spans="1:2" ht="47.4" thickBot="1" x14ac:dyDescent="0.35">
      <c r="A48" s="9" t="s">
        <v>38</v>
      </c>
      <c r="B48" s="6" t="s">
        <v>394</v>
      </c>
    </row>
    <row r="49" spans="1:2" ht="63" thickBot="1" x14ac:dyDescent="0.35">
      <c r="A49" s="9" t="s">
        <v>39</v>
      </c>
      <c r="B49" s="6" t="s">
        <v>395</v>
      </c>
    </row>
    <row r="50" spans="1:2" ht="47.4" thickBot="1" x14ac:dyDescent="0.35">
      <c r="A50" s="9" t="s">
        <v>40</v>
      </c>
      <c r="B50" s="6" t="s">
        <v>396</v>
      </c>
    </row>
    <row r="51" spans="1:2" ht="47.4" thickBot="1" x14ac:dyDescent="0.35">
      <c r="A51" s="9" t="s">
        <v>41</v>
      </c>
      <c r="B51" s="6" t="s">
        <v>397</v>
      </c>
    </row>
    <row r="52" spans="1:2" ht="63" thickBot="1" x14ac:dyDescent="0.35">
      <c r="A52" s="9" t="s">
        <v>42</v>
      </c>
      <c r="B52" s="6" t="s">
        <v>398</v>
      </c>
    </row>
    <row r="53" spans="1:2" ht="47.4" thickBot="1" x14ac:dyDescent="0.35">
      <c r="A53" s="9" t="s">
        <v>43</v>
      </c>
      <c r="B53" s="6" t="s">
        <v>399</v>
      </c>
    </row>
    <row r="54" spans="1:2" ht="15.6" x14ac:dyDescent="0.3">
      <c r="A54" s="2"/>
    </row>
  </sheetData>
  <mergeCells count="2">
    <mergeCell ref="B23:B24"/>
    <mergeCell ref="B25:B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34"/>
  <sheetViews>
    <sheetView zoomScale="70" zoomScaleNormal="70" workbookViewId="0">
      <selection activeCell="I12" sqref="I12"/>
    </sheetView>
  </sheetViews>
  <sheetFormatPr defaultColWidth="8.88671875" defaultRowHeight="18" x14ac:dyDescent="0.35"/>
  <cols>
    <col min="1" max="1" width="8.88671875" style="50"/>
    <col min="2" max="2" width="68.88671875" style="50" customWidth="1"/>
    <col min="3" max="3" width="18.21875" style="50" customWidth="1"/>
    <col min="4" max="4" width="24.6640625" style="50" customWidth="1"/>
    <col min="5" max="5" width="27" style="50" customWidth="1"/>
    <col min="6" max="16384" width="8.88671875" style="50"/>
  </cols>
  <sheetData>
    <row r="3" spans="1:5" x14ac:dyDescent="0.35">
      <c r="B3" s="51" t="s">
        <v>321</v>
      </c>
    </row>
    <row r="4" spans="1:5" x14ac:dyDescent="0.35">
      <c r="B4" s="51" t="s">
        <v>322</v>
      </c>
    </row>
    <row r="10" spans="1:5" ht="54" x14ac:dyDescent="0.35">
      <c r="A10" s="52"/>
      <c r="B10" s="55" t="s">
        <v>317</v>
      </c>
      <c r="C10" s="55" t="s">
        <v>318</v>
      </c>
      <c r="D10" s="55" t="s">
        <v>319</v>
      </c>
    </row>
    <row r="11" spans="1:5" ht="108" x14ac:dyDescent="0.35">
      <c r="A11" s="52">
        <v>1</v>
      </c>
      <c r="B11" s="53" t="s">
        <v>320</v>
      </c>
      <c r="C11" s="58" t="s">
        <v>400</v>
      </c>
      <c r="D11" s="58" t="s">
        <v>401</v>
      </c>
      <c r="E11" s="57"/>
    </row>
    <row r="12" spans="1:5" ht="90" x14ac:dyDescent="0.35">
      <c r="A12" s="52">
        <v>2</v>
      </c>
      <c r="B12" s="53" t="s">
        <v>440</v>
      </c>
      <c r="C12" t="s">
        <v>441</v>
      </c>
      <c r="D12" s="58" t="s">
        <v>402</v>
      </c>
      <c r="E12" s="57"/>
    </row>
    <row r="13" spans="1:5" ht="90" x14ac:dyDescent="0.35">
      <c r="A13" s="52">
        <v>3</v>
      </c>
      <c r="B13" s="53" t="s">
        <v>323</v>
      </c>
      <c r="C13" s="58" t="s">
        <v>403</v>
      </c>
      <c r="D13" s="58" t="s">
        <v>404</v>
      </c>
      <c r="E13" s="57"/>
    </row>
    <row r="14" spans="1:5" ht="108" x14ac:dyDescent="0.35">
      <c r="A14" s="52">
        <v>4</v>
      </c>
      <c r="B14" s="53" t="s">
        <v>324</v>
      </c>
      <c r="C14" s="58" t="s">
        <v>405</v>
      </c>
      <c r="D14" s="58" t="s">
        <v>406</v>
      </c>
      <c r="E14" s="57"/>
    </row>
    <row r="15" spans="1:5" ht="144" x14ac:dyDescent="0.35">
      <c r="A15" s="52">
        <v>5</v>
      </c>
      <c r="B15" s="53" t="s">
        <v>325</v>
      </c>
      <c r="C15" s="58" t="s">
        <v>407</v>
      </c>
      <c r="D15" s="58" t="s">
        <v>408</v>
      </c>
      <c r="E15" s="57"/>
    </row>
    <row r="16" spans="1:5" ht="144" x14ac:dyDescent="0.35">
      <c r="A16" s="52">
        <v>6</v>
      </c>
      <c r="B16" s="53" t="s">
        <v>326</v>
      </c>
      <c r="C16" s="58" t="s">
        <v>409</v>
      </c>
      <c r="D16" s="58" t="s">
        <v>410</v>
      </c>
      <c r="E16" s="57"/>
    </row>
    <row r="17" spans="1:5" ht="108" x14ac:dyDescent="0.35">
      <c r="A17" s="52">
        <v>7</v>
      </c>
      <c r="B17" s="53" t="s">
        <v>327</v>
      </c>
      <c r="C17" s="58" t="s">
        <v>411</v>
      </c>
      <c r="D17" s="58" t="s">
        <v>412</v>
      </c>
      <c r="E17" s="57"/>
    </row>
    <row r="18" spans="1:5" ht="108" x14ac:dyDescent="0.35">
      <c r="A18" s="52">
        <v>8</v>
      </c>
      <c r="B18" s="53" t="s">
        <v>328</v>
      </c>
      <c r="C18" s="58" t="s">
        <v>413</v>
      </c>
      <c r="D18" s="58" t="s">
        <v>414</v>
      </c>
      <c r="E18" s="57"/>
    </row>
    <row r="19" spans="1:5" ht="216" x14ac:dyDescent="0.35">
      <c r="A19" s="52">
        <v>9</v>
      </c>
      <c r="B19" s="54" t="s">
        <v>329</v>
      </c>
      <c r="C19" s="58" t="s">
        <v>415</v>
      </c>
      <c r="D19" s="58" t="s">
        <v>416</v>
      </c>
      <c r="E19" s="57"/>
    </row>
    <row r="20" spans="1:5" ht="324" x14ac:dyDescent="0.35">
      <c r="A20" s="52">
        <v>10</v>
      </c>
      <c r="B20" s="54" t="s">
        <v>330</v>
      </c>
      <c r="C20" s="58" t="s">
        <v>417</v>
      </c>
      <c r="D20" s="58" t="s">
        <v>418</v>
      </c>
      <c r="E20" s="57"/>
    </row>
    <row r="21" spans="1:5" ht="198" x14ac:dyDescent="0.35">
      <c r="A21" s="52">
        <v>11</v>
      </c>
      <c r="B21" s="53" t="s">
        <v>331</v>
      </c>
      <c r="C21" s="58" t="s">
        <v>419</v>
      </c>
      <c r="D21" s="58" t="s">
        <v>420</v>
      </c>
      <c r="E21" s="57"/>
    </row>
    <row r="22" spans="1:5" x14ac:dyDescent="0.35">
      <c r="A22" s="52"/>
      <c r="B22" s="53"/>
      <c r="C22" s="58"/>
      <c r="D22" s="58"/>
      <c r="E22" s="57"/>
    </row>
    <row r="23" spans="1:5" ht="90" x14ac:dyDescent="0.35">
      <c r="A23" s="52">
        <v>12</v>
      </c>
      <c r="B23" s="53" t="s">
        <v>332</v>
      </c>
      <c r="C23" s="58" t="s">
        <v>421</v>
      </c>
      <c r="D23" s="58" t="s">
        <v>422</v>
      </c>
      <c r="E23" s="57"/>
    </row>
    <row r="24" spans="1:5" ht="108" x14ac:dyDescent="0.35">
      <c r="A24" s="52">
        <v>13</v>
      </c>
      <c r="B24" s="53" t="s">
        <v>333</v>
      </c>
      <c r="C24" s="58" t="s">
        <v>423</v>
      </c>
      <c r="D24" s="58" t="s">
        <v>424</v>
      </c>
      <c r="E24" s="57"/>
    </row>
    <row r="25" spans="1:5" ht="90" x14ac:dyDescent="0.35">
      <c r="A25" s="52">
        <v>14</v>
      </c>
      <c r="B25" s="53" t="s">
        <v>334</v>
      </c>
      <c r="C25" s="58" t="s">
        <v>425</v>
      </c>
      <c r="D25" s="58" t="s">
        <v>426</v>
      </c>
      <c r="E25" s="57"/>
    </row>
    <row r="26" spans="1:5" ht="126" x14ac:dyDescent="0.35">
      <c r="A26" s="52">
        <v>15</v>
      </c>
      <c r="B26" s="53" t="s">
        <v>335</v>
      </c>
      <c r="C26" s="58" t="s">
        <v>427</v>
      </c>
      <c r="D26" s="58" t="s">
        <v>428</v>
      </c>
      <c r="E26" s="57"/>
    </row>
    <row r="27" spans="1:5" ht="90" x14ac:dyDescent="0.35">
      <c r="A27" s="52">
        <v>16</v>
      </c>
      <c r="B27" s="53" t="s">
        <v>308</v>
      </c>
      <c r="C27" s="58" t="s">
        <v>425</v>
      </c>
      <c r="D27" s="58" t="s">
        <v>429</v>
      </c>
      <c r="E27" s="57"/>
    </row>
    <row r="28" spans="1:5" ht="108" x14ac:dyDescent="0.35">
      <c r="A28" s="52">
        <v>17</v>
      </c>
      <c r="B28" s="53" t="s">
        <v>336</v>
      </c>
      <c r="C28" s="58" t="s">
        <v>430</v>
      </c>
      <c r="D28" s="58" t="s">
        <v>431</v>
      </c>
      <c r="E28" s="57"/>
    </row>
    <row r="29" spans="1:5" ht="90" x14ac:dyDescent="0.35">
      <c r="A29" s="52">
        <v>18</v>
      </c>
      <c r="B29" s="53" t="s">
        <v>337</v>
      </c>
      <c r="C29" s="58" t="s">
        <v>432</v>
      </c>
      <c r="D29" s="58" t="s">
        <v>433</v>
      </c>
      <c r="E29" s="57"/>
    </row>
    <row r="30" spans="1:5" ht="72" x14ac:dyDescent="0.35">
      <c r="A30" s="52">
        <v>19</v>
      </c>
      <c r="B30" s="53" t="s">
        <v>338</v>
      </c>
      <c r="C30" t="s">
        <v>441</v>
      </c>
      <c r="D30" s="58" t="s">
        <v>434</v>
      </c>
      <c r="E30" s="57"/>
    </row>
    <row r="31" spans="1:5" ht="126" x14ac:dyDescent="0.35">
      <c r="A31" s="52">
        <v>20</v>
      </c>
      <c r="B31" s="53" t="s">
        <v>339</v>
      </c>
      <c r="C31" s="58" t="s">
        <v>435</v>
      </c>
      <c r="D31" s="58" t="s">
        <v>436</v>
      </c>
      <c r="E31" s="57"/>
    </row>
    <row r="32" spans="1:5" ht="72" x14ac:dyDescent="0.35">
      <c r="A32" s="52">
        <v>21</v>
      </c>
      <c r="B32" s="53" t="s">
        <v>340</v>
      </c>
      <c r="C32" s="58" t="s">
        <v>425</v>
      </c>
      <c r="D32" s="58" t="s">
        <v>437</v>
      </c>
      <c r="E32" s="57"/>
    </row>
    <row r="33" spans="1:5" ht="108" x14ac:dyDescent="0.35">
      <c r="A33" s="52">
        <v>22</v>
      </c>
      <c r="B33" s="53" t="s">
        <v>341</v>
      </c>
      <c r="C33" s="58" t="s">
        <v>438</v>
      </c>
      <c r="D33" s="58" t="s">
        <v>439</v>
      </c>
      <c r="E33" s="57"/>
    </row>
    <row r="34" spans="1:5" x14ac:dyDescent="0.35">
      <c r="C34" s="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93"/>
  <sheetViews>
    <sheetView zoomScaleNormal="100" workbookViewId="0">
      <selection activeCell="E90" sqref="E90"/>
    </sheetView>
  </sheetViews>
  <sheetFormatPr defaultRowHeight="14.4" x14ac:dyDescent="0.3"/>
  <cols>
    <col min="1" max="1" width="41.109375" customWidth="1"/>
    <col min="2" max="2" width="28" customWidth="1"/>
    <col min="3" max="3" width="15.5546875" customWidth="1"/>
  </cols>
  <sheetData>
    <row r="2" spans="1:2" ht="15.6" x14ac:dyDescent="0.3">
      <c r="A2" s="1" t="s">
        <v>342</v>
      </c>
    </row>
    <row r="3" spans="1:2" ht="15.6" x14ac:dyDescent="0.3">
      <c r="A3" s="1" t="s">
        <v>50</v>
      </c>
    </row>
    <row r="4" spans="1:2" ht="15.6" x14ac:dyDescent="0.3">
      <c r="A4" s="1" t="s">
        <v>51</v>
      </c>
    </row>
    <row r="5" spans="1:2" ht="16.2" thickBot="1" x14ac:dyDescent="0.35">
      <c r="A5" s="1"/>
    </row>
    <row r="6" spans="1:2" ht="31.8" thickBot="1" x14ac:dyDescent="0.35">
      <c r="A6" s="17" t="s">
        <v>52</v>
      </c>
      <c r="B6" s="18" t="s">
        <v>443</v>
      </c>
    </row>
    <row r="7" spans="1:2" ht="63" thickBot="1" x14ac:dyDescent="0.35">
      <c r="A7" s="11" t="s">
        <v>54</v>
      </c>
      <c r="B7" s="14" t="s">
        <v>442</v>
      </c>
    </row>
    <row r="8" spans="1:2" ht="78.599999999999994" thickBot="1" x14ac:dyDescent="0.35">
      <c r="A8" s="11" t="s">
        <v>444</v>
      </c>
      <c r="B8" s="14" t="s">
        <v>445</v>
      </c>
    </row>
    <row r="9" spans="1:2" ht="78.599999999999994" thickBot="1" x14ac:dyDescent="0.35">
      <c r="A9" s="11" t="s">
        <v>55</v>
      </c>
      <c r="B9" s="14" t="s">
        <v>446</v>
      </c>
    </row>
    <row r="10" spans="1:2" ht="78.599999999999994" thickBot="1" x14ac:dyDescent="0.35">
      <c r="A10" s="11" t="s">
        <v>56</v>
      </c>
      <c r="B10" s="14" t="s">
        <v>447</v>
      </c>
    </row>
    <row r="11" spans="1:2" ht="47.4" thickBot="1" x14ac:dyDescent="0.35">
      <c r="A11" s="11" t="s">
        <v>448</v>
      </c>
      <c r="B11" s="14" t="s">
        <v>449</v>
      </c>
    </row>
    <row r="12" spans="1:2" ht="78.599999999999994" thickBot="1" x14ac:dyDescent="0.35">
      <c r="A12" s="11" t="s">
        <v>57</v>
      </c>
      <c r="B12" s="14" t="s">
        <v>450</v>
      </c>
    </row>
    <row r="13" spans="1:2" ht="94.2" thickBot="1" x14ac:dyDescent="0.35">
      <c r="A13" s="11" t="s">
        <v>58</v>
      </c>
      <c r="B13" s="14" t="s">
        <v>451</v>
      </c>
    </row>
    <row r="14" spans="1:2" ht="63" thickBot="1" x14ac:dyDescent="0.35">
      <c r="A14" s="11" t="s">
        <v>59</v>
      </c>
      <c r="B14" s="14" t="s">
        <v>452</v>
      </c>
    </row>
    <row r="15" spans="1:2" ht="47.4" thickBot="1" x14ac:dyDescent="0.35">
      <c r="A15" s="11" t="s">
        <v>60</v>
      </c>
      <c r="B15" s="14" t="s">
        <v>453</v>
      </c>
    </row>
    <row r="16" spans="1:2" ht="63" thickBot="1" x14ac:dyDescent="0.35">
      <c r="A16" s="11" t="s">
        <v>61</v>
      </c>
      <c r="B16" s="14" t="s">
        <v>454</v>
      </c>
    </row>
    <row r="17" spans="1:2" ht="63" thickBot="1" x14ac:dyDescent="0.35">
      <c r="A17" s="11" t="s">
        <v>62</v>
      </c>
      <c r="B17" s="14" t="s">
        <v>455</v>
      </c>
    </row>
    <row r="18" spans="1:2" ht="78.599999999999994" thickBot="1" x14ac:dyDescent="0.35">
      <c r="A18" s="11" t="s">
        <v>456</v>
      </c>
      <c r="B18" s="14" t="s">
        <v>457</v>
      </c>
    </row>
    <row r="19" spans="1:2" ht="63" thickBot="1" x14ac:dyDescent="0.35">
      <c r="A19" s="11" t="s">
        <v>63</v>
      </c>
      <c r="B19" s="14" t="s">
        <v>458</v>
      </c>
    </row>
    <row r="20" spans="1:2" ht="47.4" thickBot="1" x14ac:dyDescent="0.35">
      <c r="A20" s="11" t="s">
        <v>64</v>
      </c>
      <c r="B20" s="14" t="s">
        <v>459</v>
      </c>
    </row>
    <row r="21" spans="1:2" ht="31.8" thickBot="1" x14ac:dyDescent="0.35">
      <c r="A21" s="11" t="s">
        <v>460</v>
      </c>
      <c r="B21" s="14" t="s">
        <v>461</v>
      </c>
    </row>
    <row r="22" spans="1:2" ht="47.4" thickBot="1" x14ac:dyDescent="0.35">
      <c r="A22" s="11" t="s">
        <v>65</v>
      </c>
      <c r="B22" s="14" t="s">
        <v>462</v>
      </c>
    </row>
    <row r="23" spans="1:2" ht="63" thickBot="1" x14ac:dyDescent="0.35">
      <c r="A23" s="11" t="s">
        <v>463</v>
      </c>
      <c r="B23" s="14" t="s">
        <v>464</v>
      </c>
    </row>
    <row r="24" spans="1:2" ht="63" thickBot="1" x14ac:dyDescent="0.35">
      <c r="A24" s="11" t="s">
        <v>66</v>
      </c>
      <c r="B24" s="14" t="s">
        <v>465</v>
      </c>
    </row>
    <row r="25" spans="1:2" ht="63" thickBot="1" x14ac:dyDescent="0.35">
      <c r="A25" s="11" t="s">
        <v>67</v>
      </c>
      <c r="B25" s="14" t="s">
        <v>466</v>
      </c>
    </row>
    <row r="26" spans="1:2" ht="63" thickBot="1" x14ac:dyDescent="0.35">
      <c r="A26" s="11" t="s">
        <v>68</v>
      </c>
      <c r="B26" s="14" t="s">
        <v>467</v>
      </c>
    </row>
    <row r="27" spans="1:2" ht="47.4" thickBot="1" x14ac:dyDescent="0.35">
      <c r="A27" s="11" t="s">
        <v>69</v>
      </c>
      <c r="B27" s="14" t="s">
        <v>468</v>
      </c>
    </row>
    <row r="28" spans="1:2" ht="47.4" thickBot="1" x14ac:dyDescent="0.35">
      <c r="A28" s="11" t="s">
        <v>70</v>
      </c>
      <c r="B28" s="14" t="s">
        <v>469</v>
      </c>
    </row>
    <row r="29" spans="1:2" ht="63" thickBot="1" x14ac:dyDescent="0.35">
      <c r="A29" s="11" t="s">
        <v>71</v>
      </c>
      <c r="B29" s="14" t="s">
        <v>470</v>
      </c>
    </row>
    <row r="30" spans="1:2" ht="47.4" thickBot="1" x14ac:dyDescent="0.35">
      <c r="A30" s="11" t="s">
        <v>72</v>
      </c>
      <c r="B30" s="14" t="s">
        <v>471</v>
      </c>
    </row>
    <row r="31" spans="1:2" ht="63" thickBot="1" x14ac:dyDescent="0.35">
      <c r="A31" s="11" t="s">
        <v>73</v>
      </c>
      <c r="B31" s="14" t="s">
        <v>472</v>
      </c>
    </row>
    <row r="32" spans="1:2" ht="47.4" thickBot="1" x14ac:dyDescent="0.35">
      <c r="A32" s="11" t="s">
        <v>74</v>
      </c>
      <c r="B32" s="14" t="s">
        <v>473</v>
      </c>
    </row>
    <row r="33" spans="1:5" ht="63" thickBot="1" x14ac:dyDescent="0.35">
      <c r="A33" s="11" t="s">
        <v>75</v>
      </c>
      <c r="B33" s="14" t="s">
        <v>474</v>
      </c>
    </row>
    <row r="34" spans="1:5" ht="47.4" thickBot="1" x14ac:dyDescent="0.35">
      <c r="A34" s="11" t="s">
        <v>76</v>
      </c>
      <c r="B34" s="14" t="s">
        <v>475</v>
      </c>
    </row>
    <row r="35" spans="1:5" ht="78.599999999999994" thickBot="1" x14ac:dyDescent="0.35">
      <c r="A35" s="11" t="s">
        <v>77</v>
      </c>
      <c r="B35" s="14" t="s">
        <v>476</v>
      </c>
    </row>
    <row r="36" spans="1:5" ht="16.2" thickBot="1" x14ac:dyDescent="0.35">
      <c r="A36" s="11"/>
      <c r="B36" s="14"/>
    </row>
    <row r="37" spans="1:5" ht="15.6" x14ac:dyDescent="0.3">
      <c r="A37" s="19"/>
    </row>
    <row r="38" spans="1:5" ht="15.6" x14ac:dyDescent="0.3">
      <c r="C38" s="1" t="s">
        <v>78</v>
      </c>
    </row>
    <row r="39" spans="1:5" ht="15.6" x14ac:dyDescent="0.3">
      <c r="C39" s="1" t="s">
        <v>79</v>
      </c>
    </row>
    <row r="40" spans="1:5" ht="15.6" x14ac:dyDescent="0.3">
      <c r="C40" s="1" t="s">
        <v>80</v>
      </c>
    </row>
    <row r="41" spans="1:5" ht="15.6" x14ac:dyDescent="0.3">
      <c r="A41" s="1"/>
    </row>
    <row r="42" spans="1:5" ht="15.6" x14ac:dyDescent="0.3">
      <c r="A42" s="1"/>
    </row>
    <row r="43" spans="1:5" ht="15.6" x14ac:dyDescent="0.3">
      <c r="A43" s="1" t="s">
        <v>343</v>
      </c>
    </row>
    <row r="44" spans="1:5" ht="15.6" x14ac:dyDescent="0.3">
      <c r="A44" s="1" t="s">
        <v>81</v>
      </c>
    </row>
    <row r="45" spans="1:5" ht="16.2" thickBot="1" x14ac:dyDescent="0.35">
      <c r="A45" s="1"/>
    </row>
    <row r="46" spans="1:5" ht="27.6" customHeight="1" x14ac:dyDescent="0.3">
      <c r="A46" s="78" t="s">
        <v>82</v>
      </c>
      <c r="B46" s="81" t="s">
        <v>83</v>
      </c>
      <c r="C46" s="21" t="s">
        <v>84</v>
      </c>
      <c r="D46" s="84" t="s">
        <v>86</v>
      </c>
      <c r="E46" s="85"/>
    </row>
    <row r="47" spans="1:5" ht="16.8" thickBot="1" x14ac:dyDescent="0.35">
      <c r="A47" s="79"/>
      <c r="B47" s="82"/>
      <c r="C47" s="22" t="s">
        <v>85</v>
      </c>
      <c r="D47" s="86" t="s">
        <v>87</v>
      </c>
      <c r="E47" s="87"/>
    </row>
    <row r="48" spans="1:5" ht="31.8" thickBot="1" x14ac:dyDescent="0.35">
      <c r="A48" s="80"/>
      <c r="B48" s="83"/>
      <c r="C48" s="20"/>
      <c r="D48" s="23" t="s">
        <v>88</v>
      </c>
      <c r="E48" s="23" t="s">
        <v>89</v>
      </c>
    </row>
    <row r="49" spans="1:5" ht="16.2" thickBot="1" x14ac:dyDescent="0.35">
      <c r="A49" s="24" t="s">
        <v>90</v>
      </c>
      <c r="B49" s="25">
        <v>1</v>
      </c>
      <c r="C49" s="25"/>
      <c r="D49" s="25" t="s">
        <v>91</v>
      </c>
      <c r="E49" s="25" t="s">
        <v>92</v>
      </c>
    </row>
    <row r="50" spans="1:5" ht="16.2" thickBot="1" x14ac:dyDescent="0.35">
      <c r="A50" s="26" t="s">
        <v>93</v>
      </c>
      <c r="B50" s="6"/>
      <c r="C50" s="6"/>
      <c r="D50" s="6"/>
      <c r="E50" s="6"/>
    </row>
    <row r="51" spans="1:5" ht="28.2" thickBot="1" x14ac:dyDescent="0.35">
      <c r="A51" s="26" t="s">
        <v>94</v>
      </c>
      <c r="B51" s="6"/>
      <c r="C51" s="6"/>
      <c r="D51" s="6"/>
      <c r="E51" s="6"/>
    </row>
    <row r="52" spans="1:5" ht="16.2" thickBot="1" x14ac:dyDescent="0.35">
      <c r="A52" s="26" t="s">
        <v>95</v>
      </c>
      <c r="B52" s="6"/>
      <c r="C52" s="6"/>
      <c r="D52" s="6"/>
      <c r="E52" s="6"/>
    </row>
    <row r="53" spans="1:5" ht="16.2" thickBot="1" x14ac:dyDescent="0.35">
      <c r="A53" s="26" t="s">
        <v>96</v>
      </c>
      <c r="B53" s="6"/>
      <c r="C53" s="6"/>
      <c r="D53" s="6"/>
      <c r="E53" s="6"/>
    </row>
    <row r="54" spans="1:5" ht="16.2" thickBot="1" x14ac:dyDescent="0.35">
      <c r="A54" s="26" t="s">
        <v>97</v>
      </c>
      <c r="B54" s="6"/>
      <c r="C54" s="6"/>
      <c r="D54" s="6"/>
      <c r="E54" s="6"/>
    </row>
    <row r="55" spans="1:5" ht="16.2" thickBot="1" x14ac:dyDescent="0.35">
      <c r="A55" s="26" t="s">
        <v>98</v>
      </c>
      <c r="B55" s="6"/>
      <c r="C55" s="6"/>
      <c r="D55" s="6"/>
      <c r="E55" s="6"/>
    </row>
    <row r="56" spans="1:5" ht="28.2" thickBot="1" x14ac:dyDescent="0.35">
      <c r="A56" s="26" t="s">
        <v>99</v>
      </c>
      <c r="B56" s="6"/>
      <c r="C56" s="6"/>
      <c r="D56" s="6"/>
      <c r="E56" s="6"/>
    </row>
    <row r="57" spans="1:5" ht="28.2" thickBot="1" x14ac:dyDescent="0.35">
      <c r="A57" s="26" t="s">
        <v>100</v>
      </c>
      <c r="B57" s="6"/>
      <c r="C57" s="6"/>
      <c r="D57" s="6"/>
      <c r="E57" s="6"/>
    </row>
    <row r="58" spans="1:5" ht="16.2" thickBot="1" x14ac:dyDescent="0.35">
      <c r="A58" s="24" t="s">
        <v>101</v>
      </c>
      <c r="B58" s="25">
        <v>1</v>
      </c>
      <c r="C58" s="25"/>
      <c r="D58" s="25" t="s">
        <v>91</v>
      </c>
      <c r="E58" s="25" t="s">
        <v>92</v>
      </c>
    </row>
    <row r="59" spans="1:5" ht="16.2" thickBot="1" x14ac:dyDescent="0.35">
      <c r="A59" s="26" t="s">
        <v>102</v>
      </c>
      <c r="B59" s="6"/>
      <c r="C59" s="6"/>
      <c r="D59" s="6"/>
      <c r="E59" s="6"/>
    </row>
    <row r="60" spans="1:5" ht="16.2" thickBot="1" x14ac:dyDescent="0.35">
      <c r="A60" s="5" t="s">
        <v>103</v>
      </c>
      <c r="B60" s="6"/>
      <c r="C60" s="6"/>
      <c r="D60" s="6"/>
      <c r="E60" s="6"/>
    </row>
    <row r="61" spans="1:5" ht="28.2" thickBot="1" x14ac:dyDescent="0.35">
      <c r="A61" s="26" t="s">
        <v>104</v>
      </c>
      <c r="B61" s="6"/>
      <c r="C61" s="6"/>
      <c r="D61" s="6"/>
      <c r="E61" s="6"/>
    </row>
    <row r="62" spans="1:5" ht="16.2" thickBot="1" x14ac:dyDescent="0.35">
      <c r="A62" s="26" t="s">
        <v>105</v>
      </c>
      <c r="B62" s="6"/>
      <c r="C62" s="6"/>
      <c r="D62" s="6"/>
      <c r="E62" s="6"/>
    </row>
    <row r="63" spans="1:5" ht="28.2" thickBot="1" x14ac:dyDescent="0.35">
      <c r="A63" s="26" t="s">
        <v>106</v>
      </c>
      <c r="B63" s="6"/>
      <c r="C63" s="6"/>
      <c r="D63" s="6"/>
      <c r="E63" s="6"/>
    </row>
    <row r="64" spans="1:5" ht="16.2" thickBot="1" x14ac:dyDescent="0.35">
      <c r="A64" s="26" t="s">
        <v>107</v>
      </c>
      <c r="B64" s="6"/>
      <c r="C64" s="6"/>
      <c r="D64" s="6"/>
      <c r="E64" s="6"/>
    </row>
    <row r="65" spans="1:5" ht="16.2" thickBot="1" x14ac:dyDescent="0.35">
      <c r="A65" s="26" t="s">
        <v>108</v>
      </c>
      <c r="B65" s="6"/>
      <c r="C65" s="6"/>
      <c r="D65" s="6"/>
      <c r="E65" s="6"/>
    </row>
    <row r="66" spans="1:5" ht="28.2" thickBot="1" x14ac:dyDescent="0.35">
      <c r="A66" s="26" t="s">
        <v>109</v>
      </c>
      <c r="B66" s="6"/>
      <c r="C66" s="6"/>
      <c r="D66" s="6"/>
      <c r="E66" s="6"/>
    </row>
    <row r="67" spans="1:5" ht="16.2" thickBot="1" x14ac:dyDescent="0.35">
      <c r="A67" s="26" t="s">
        <v>110</v>
      </c>
      <c r="B67" s="6"/>
      <c r="C67" s="6"/>
      <c r="D67" s="6"/>
      <c r="E67" s="6"/>
    </row>
    <row r="68" spans="1:5" ht="16.2" thickBot="1" x14ac:dyDescent="0.35">
      <c r="A68" s="26" t="s">
        <v>111</v>
      </c>
      <c r="B68" s="6"/>
      <c r="C68" s="6"/>
      <c r="D68" s="6"/>
      <c r="E68" s="6"/>
    </row>
    <row r="69" spans="1:5" ht="16.2" thickBot="1" x14ac:dyDescent="0.35">
      <c r="A69" s="26" t="s">
        <v>112</v>
      </c>
      <c r="B69" s="25">
        <v>1</v>
      </c>
      <c r="C69" s="25"/>
      <c r="D69" s="25" t="s">
        <v>91</v>
      </c>
      <c r="E69" s="25" t="s">
        <v>92</v>
      </c>
    </row>
    <row r="70" spans="1:5" ht="16.2" thickBot="1" x14ac:dyDescent="0.35">
      <c r="A70" s="26" t="s">
        <v>113</v>
      </c>
      <c r="B70" s="6"/>
      <c r="C70" s="6"/>
      <c r="D70" s="6"/>
      <c r="E70" s="6"/>
    </row>
    <row r="71" spans="1:5" ht="16.2" thickBot="1" x14ac:dyDescent="0.35">
      <c r="A71" s="26" t="s">
        <v>114</v>
      </c>
      <c r="B71" s="6"/>
      <c r="C71" s="6"/>
      <c r="D71" s="6"/>
      <c r="E71" s="6"/>
    </row>
    <row r="72" spans="1:5" ht="16.2" thickBot="1" x14ac:dyDescent="0.35">
      <c r="A72" s="26" t="s">
        <v>115</v>
      </c>
      <c r="B72" s="6"/>
      <c r="C72" s="6"/>
      <c r="D72" s="6"/>
      <c r="E72" s="6"/>
    </row>
    <row r="73" spans="1:5" ht="16.2" thickBot="1" x14ac:dyDescent="0.35">
      <c r="A73" s="26" t="s">
        <v>116</v>
      </c>
      <c r="B73" s="6"/>
      <c r="C73" s="6"/>
      <c r="D73" s="6"/>
      <c r="E73" s="6"/>
    </row>
    <row r="74" spans="1:5" ht="16.2" thickBot="1" x14ac:dyDescent="0.35">
      <c r="A74" s="26" t="s">
        <v>117</v>
      </c>
      <c r="B74" s="6"/>
      <c r="C74" s="6"/>
      <c r="D74" s="6"/>
      <c r="E74" s="6"/>
    </row>
    <row r="75" spans="1:5" ht="16.2" thickBot="1" x14ac:dyDescent="0.35">
      <c r="A75" s="24" t="s">
        <v>118</v>
      </c>
      <c r="B75" s="25">
        <v>1</v>
      </c>
      <c r="C75" s="25"/>
      <c r="D75" s="25" t="s">
        <v>91</v>
      </c>
      <c r="E75" s="25" t="s">
        <v>92</v>
      </c>
    </row>
    <row r="76" spans="1:5" ht="16.2" thickBot="1" x14ac:dyDescent="0.35">
      <c r="A76" s="26" t="s">
        <v>119</v>
      </c>
      <c r="B76" s="6"/>
      <c r="C76" s="6"/>
      <c r="D76" s="6"/>
      <c r="E76" s="6"/>
    </row>
    <row r="77" spans="1:5" ht="28.2" thickBot="1" x14ac:dyDescent="0.35">
      <c r="A77" s="26" t="s">
        <v>120</v>
      </c>
      <c r="B77" s="6"/>
      <c r="C77" s="6"/>
      <c r="D77" s="6"/>
      <c r="E77" s="6"/>
    </row>
    <row r="78" spans="1:5" ht="28.2" thickBot="1" x14ac:dyDescent="0.35">
      <c r="A78" s="26" t="s">
        <v>121</v>
      </c>
      <c r="B78" s="6"/>
      <c r="C78" s="6"/>
      <c r="D78" s="6"/>
      <c r="E78" s="6"/>
    </row>
    <row r="79" spans="1:5" ht="28.2" thickBot="1" x14ac:dyDescent="0.35">
      <c r="A79" s="26" t="s">
        <v>122</v>
      </c>
      <c r="B79" s="6"/>
      <c r="C79" s="6"/>
      <c r="D79" s="6"/>
      <c r="E79" s="6"/>
    </row>
    <row r="80" spans="1:5" ht="28.2" thickBot="1" x14ac:dyDescent="0.35">
      <c r="A80" s="26" t="s">
        <v>123</v>
      </c>
      <c r="B80" s="6"/>
      <c r="C80" s="6"/>
      <c r="D80" s="6"/>
      <c r="E80" s="6"/>
    </row>
    <row r="81" spans="1:5" ht="16.2" thickBot="1" x14ac:dyDescent="0.35">
      <c r="A81" s="26" t="s">
        <v>124</v>
      </c>
      <c r="B81" s="6"/>
      <c r="C81" s="6"/>
      <c r="D81" s="6"/>
      <c r="E81" s="6"/>
    </row>
    <row r="82" spans="1:5" ht="15.6" x14ac:dyDescent="0.3">
      <c r="A82" s="2"/>
    </row>
    <row r="83" spans="1:5" ht="15.6" x14ac:dyDescent="0.3">
      <c r="A83" s="2"/>
    </row>
    <row r="84" spans="1:5" ht="15.6" x14ac:dyDescent="0.3">
      <c r="A84" s="1" t="s">
        <v>344</v>
      </c>
    </row>
    <row r="85" spans="1:5" ht="15.6" x14ac:dyDescent="0.3">
      <c r="C85" s="1" t="s">
        <v>125</v>
      </c>
    </row>
    <row r="86" spans="1:5" ht="15.6" x14ac:dyDescent="0.3">
      <c r="C86" s="1" t="s">
        <v>126</v>
      </c>
    </row>
    <row r="87" spans="1:5" ht="16.2" thickBot="1" x14ac:dyDescent="0.35">
      <c r="A87" s="1"/>
    </row>
    <row r="88" spans="1:5" ht="31.8" customHeight="1" thickBot="1" x14ac:dyDescent="0.35">
      <c r="A88" s="59" t="s">
        <v>88</v>
      </c>
      <c r="B88" s="60" t="s">
        <v>89</v>
      </c>
    </row>
    <row r="89" spans="1:5" ht="63" customHeight="1" x14ac:dyDescent="0.3">
      <c r="A89" s="61" t="s">
        <v>477</v>
      </c>
      <c r="B89" s="62" t="s">
        <v>478</v>
      </c>
    </row>
    <row r="90" spans="1:5" ht="62.4" x14ac:dyDescent="0.3">
      <c r="A90" s="48" t="s">
        <v>479</v>
      </c>
      <c r="B90" s="48" t="s">
        <v>480</v>
      </c>
    </row>
    <row r="91" spans="1:5" ht="62.4" x14ac:dyDescent="0.3">
      <c r="A91" s="48" t="s">
        <v>481</v>
      </c>
      <c r="B91" s="63" t="s">
        <v>482</v>
      </c>
    </row>
    <row r="92" spans="1:5" ht="62.4" x14ac:dyDescent="0.3">
      <c r="A92" s="63" t="s">
        <v>483</v>
      </c>
      <c r="B92" s="63" t="s">
        <v>484</v>
      </c>
    </row>
    <row r="93" spans="1:5" ht="62.4" x14ac:dyDescent="0.3">
      <c r="A93" s="63" t="s">
        <v>485</v>
      </c>
      <c r="B93" s="63" t="s">
        <v>486</v>
      </c>
    </row>
  </sheetData>
  <mergeCells count="4">
    <mergeCell ref="A46:A48"/>
    <mergeCell ref="B46:B48"/>
    <mergeCell ref="D46:E46"/>
    <mergeCell ref="D47:E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54"/>
  <sheetViews>
    <sheetView topLeftCell="A26" zoomScale="58" workbookViewId="0">
      <selection activeCell="I45" sqref="I45"/>
    </sheetView>
  </sheetViews>
  <sheetFormatPr defaultRowHeight="14.4" x14ac:dyDescent="0.3"/>
  <cols>
    <col min="1" max="1" width="41" customWidth="1"/>
    <col min="2" max="2" width="25.77734375" customWidth="1"/>
  </cols>
  <sheetData>
    <row r="2" spans="1:5" ht="15.6" x14ac:dyDescent="0.3">
      <c r="A2" s="2" t="s">
        <v>345</v>
      </c>
    </row>
    <row r="3" spans="1:5" ht="15.6" x14ac:dyDescent="0.3">
      <c r="A3" s="1" t="s">
        <v>127</v>
      </c>
    </row>
    <row r="4" spans="1:5" ht="16.2" thickBot="1" x14ac:dyDescent="0.35">
      <c r="A4" s="1"/>
    </row>
    <row r="5" spans="1:5" ht="31.2" customHeight="1" x14ac:dyDescent="0.3">
      <c r="A5" s="88" t="s">
        <v>82</v>
      </c>
      <c r="B5" s="28" t="s">
        <v>83</v>
      </c>
      <c r="C5" s="30" t="s">
        <v>84</v>
      </c>
      <c r="D5" s="91" t="s">
        <v>86</v>
      </c>
      <c r="E5" s="92"/>
    </row>
    <row r="6" spans="1:5" ht="18.600000000000001" thickBot="1" x14ac:dyDescent="0.35">
      <c r="A6" s="89"/>
      <c r="B6" s="29" t="s">
        <v>128</v>
      </c>
      <c r="C6" s="31" t="s">
        <v>129</v>
      </c>
      <c r="D6" s="86" t="s">
        <v>130</v>
      </c>
      <c r="E6" s="87"/>
    </row>
    <row r="7" spans="1:5" ht="31.8" thickBot="1" x14ac:dyDescent="0.35">
      <c r="A7" s="90"/>
      <c r="B7" s="6"/>
      <c r="C7" s="20"/>
      <c r="D7" s="23" t="s">
        <v>88</v>
      </c>
      <c r="E7" s="23" t="s">
        <v>89</v>
      </c>
    </row>
    <row r="8" spans="1:5" ht="16.2" thickBot="1" x14ac:dyDescent="0.35">
      <c r="A8" s="32" t="s">
        <v>131</v>
      </c>
      <c r="B8" s="25">
        <v>1</v>
      </c>
      <c r="C8" s="25"/>
      <c r="D8" s="25" t="s">
        <v>91</v>
      </c>
      <c r="E8" s="25" t="s">
        <v>92</v>
      </c>
    </row>
    <row r="9" spans="1:5" ht="16.2" thickBot="1" x14ac:dyDescent="0.35">
      <c r="A9" s="11" t="s">
        <v>132</v>
      </c>
      <c r="B9" s="6">
        <v>0.2</v>
      </c>
      <c r="C9" s="6">
        <v>2</v>
      </c>
      <c r="D9" s="6">
        <f>SUMIF($C$9:$C$14, "&lt;0")</f>
        <v>-6</v>
      </c>
      <c r="E9" s="6">
        <f>SUMIF($C$9:$C$14, "&gt;0")</f>
        <v>5</v>
      </c>
    </row>
    <row r="10" spans="1:5" ht="16.2" thickBot="1" x14ac:dyDescent="0.35">
      <c r="A10" s="11" t="s">
        <v>133</v>
      </c>
      <c r="B10" s="6">
        <v>0.2</v>
      </c>
      <c r="C10" s="6">
        <v>-3</v>
      </c>
      <c r="D10" s="6">
        <f t="shared" ref="D10:D13" si="0">SUMIF($C$9:$C$14, "&lt;0")</f>
        <v>-6</v>
      </c>
      <c r="E10" s="6">
        <f t="shared" ref="E10:E14" si="1">SUMIF($C$9:$C$14, "&gt;0")</f>
        <v>5</v>
      </c>
    </row>
    <row r="11" spans="1:5" ht="31.8" thickBot="1" x14ac:dyDescent="0.35">
      <c r="A11" s="11" t="s">
        <v>134</v>
      </c>
      <c r="B11" s="6">
        <v>0.15</v>
      </c>
      <c r="C11" s="6">
        <v>1</v>
      </c>
      <c r="D11" s="6">
        <f t="shared" si="0"/>
        <v>-6</v>
      </c>
      <c r="E11" s="6">
        <f t="shared" si="1"/>
        <v>5</v>
      </c>
    </row>
    <row r="12" spans="1:5" ht="31.8" thickBot="1" x14ac:dyDescent="0.35">
      <c r="A12" s="11" t="s">
        <v>135</v>
      </c>
      <c r="B12" s="6">
        <v>0.1</v>
      </c>
      <c r="C12" s="6">
        <v>2</v>
      </c>
      <c r="D12" s="6">
        <f t="shared" si="0"/>
        <v>-6</v>
      </c>
      <c r="E12" s="6">
        <f t="shared" si="1"/>
        <v>5</v>
      </c>
    </row>
    <row r="13" spans="1:5" ht="31.8" thickBot="1" x14ac:dyDescent="0.35">
      <c r="A13" s="11" t="s">
        <v>136</v>
      </c>
      <c r="B13" s="6">
        <v>0.15</v>
      </c>
      <c r="C13" s="6">
        <v>-1</v>
      </c>
      <c r="D13" s="6">
        <f t="shared" si="0"/>
        <v>-6</v>
      </c>
      <c r="E13" s="6">
        <f t="shared" si="1"/>
        <v>5</v>
      </c>
    </row>
    <row r="14" spans="1:5" ht="31.8" thickBot="1" x14ac:dyDescent="0.35">
      <c r="A14" s="11" t="s">
        <v>137</v>
      </c>
      <c r="B14" s="6">
        <v>0.2</v>
      </c>
      <c r="C14" s="6">
        <v>-2</v>
      </c>
      <c r="D14" s="6">
        <f>SUMIF($C$9:$C$14, "&lt;0")</f>
        <v>-6</v>
      </c>
      <c r="E14" s="6">
        <f t="shared" si="1"/>
        <v>5</v>
      </c>
    </row>
    <row r="15" spans="1:5" ht="16.2" thickBot="1" x14ac:dyDescent="0.35">
      <c r="A15" s="32" t="s">
        <v>138</v>
      </c>
      <c r="B15" s="25">
        <v>1</v>
      </c>
      <c r="C15" s="25"/>
      <c r="D15" s="25" t="s">
        <v>91</v>
      </c>
      <c r="E15" s="25" t="s">
        <v>92</v>
      </c>
    </row>
    <row r="16" spans="1:5" ht="16.2" thickBot="1" x14ac:dyDescent="0.35">
      <c r="A16" s="11" t="s">
        <v>139</v>
      </c>
      <c r="B16" s="6">
        <v>0.15</v>
      </c>
      <c r="C16" s="6">
        <v>22</v>
      </c>
      <c r="D16" s="6">
        <f>SUMIF($C$16:$C$25, "&lt;0")</f>
        <v>-14</v>
      </c>
      <c r="E16" s="6">
        <f>SUMIF($C$16:$C$25, "&gt;0")</f>
        <v>25</v>
      </c>
    </row>
    <row r="17" spans="1:5" ht="16.2" thickBot="1" x14ac:dyDescent="0.35">
      <c r="A17" s="9" t="s">
        <v>140</v>
      </c>
      <c r="B17" s="6">
        <v>0.1</v>
      </c>
      <c r="C17" s="6">
        <v>1</v>
      </c>
      <c r="D17" s="6">
        <f t="shared" ref="D17:D25" si="2">SUMIF($C$16:$C$25, "&lt;0")</f>
        <v>-14</v>
      </c>
      <c r="E17" s="6">
        <f t="shared" ref="E17:E25" si="3">SUMIF($C$16:$C$25, "&gt;0")</f>
        <v>25</v>
      </c>
    </row>
    <row r="18" spans="1:5" ht="16.2" thickBot="1" x14ac:dyDescent="0.35">
      <c r="A18" s="11" t="s">
        <v>141</v>
      </c>
      <c r="B18" s="6">
        <v>0.15</v>
      </c>
      <c r="C18" s="6">
        <v>-3</v>
      </c>
      <c r="D18" s="6">
        <f t="shared" si="2"/>
        <v>-14</v>
      </c>
      <c r="E18" s="6">
        <f t="shared" si="3"/>
        <v>25</v>
      </c>
    </row>
    <row r="19" spans="1:5" ht="16.2" thickBot="1" x14ac:dyDescent="0.35">
      <c r="A19" s="11" t="s">
        <v>142</v>
      </c>
      <c r="B19" s="6">
        <v>0.1</v>
      </c>
      <c r="C19" s="6">
        <v>-1</v>
      </c>
      <c r="D19" s="6">
        <f t="shared" si="2"/>
        <v>-14</v>
      </c>
      <c r="E19" s="6">
        <f t="shared" si="3"/>
        <v>25</v>
      </c>
    </row>
    <row r="20" spans="1:5" ht="16.2" thickBot="1" x14ac:dyDescent="0.35">
      <c r="A20" s="11" t="s">
        <v>143</v>
      </c>
      <c r="B20" s="6">
        <v>0.15</v>
      </c>
      <c r="C20" s="6">
        <v>-3</v>
      </c>
      <c r="D20" s="6">
        <f t="shared" si="2"/>
        <v>-14</v>
      </c>
      <c r="E20" s="6">
        <f t="shared" si="3"/>
        <v>25</v>
      </c>
    </row>
    <row r="21" spans="1:5" ht="31.8" thickBot="1" x14ac:dyDescent="0.35">
      <c r="A21" s="11" t="s">
        <v>144</v>
      </c>
      <c r="B21" s="6">
        <v>0.1</v>
      </c>
      <c r="C21" s="6">
        <v>-2</v>
      </c>
      <c r="D21" s="6">
        <f t="shared" si="2"/>
        <v>-14</v>
      </c>
      <c r="E21" s="6">
        <f t="shared" si="3"/>
        <v>25</v>
      </c>
    </row>
    <row r="22" spans="1:5" ht="31.8" thickBot="1" x14ac:dyDescent="0.35">
      <c r="A22" s="11" t="s">
        <v>145</v>
      </c>
      <c r="B22" s="6">
        <v>0.1</v>
      </c>
      <c r="C22" s="6">
        <v>-2</v>
      </c>
      <c r="D22" s="6">
        <f t="shared" si="2"/>
        <v>-14</v>
      </c>
      <c r="E22" s="6">
        <f t="shared" si="3"/>
        <v>25</v>
      </c>
    </row>
    <row r="23" spans="1:5" ht="31.8" thickBot="1" x14ac:dyDescent="0.35">
      <c r="A23" s="11" t="s">
        <v>146</v>
      </c>
      <c r="B23" s="6">
        <v>0.05</v>
      </c>
      <c r="C23" s="6">
        <v>2</v>
      </c>
      <c r="D23" s="6">
        <f t="shared" si="2"/>
        <v>-14</v>
      </c>
      <c r="E23" s="6">
        <f t="shared" si="3"/>
        <v>25</v>
      </c>
    </row>
    <row r="24" spans="1:5" ht="16.2" thickBot="1" x14ac:dyDescent="0.35">
      <c r="A24" s="11" t="s">
        <v>147</v>
      </c>
      <c r="B24" s="6">
        <v>0.1</v>
      </c>
      <c r="C24" s="6">
        <v>-2</v>
      </c>
      <c r="D24" s="6">
        <f t="shared" si="2"/>
        <v>-14</v>
      </c>
      <c r="E24" s="6">
        <f t="shared" si="3"/>
        <v>25</v>
      </c>
    </row>
    <row r="25" spans="1:5" ht="31.8" thickBot="1" x14ac:dyDescent="0.35">
      <c r="A25" s="11" t="s">
        <v>148</v>
      </c>
      <c r="B25" s="6">
        <v>0.1</v>
      </c>
      <c r="C25" s="6">
        <v>-1</v>
      </c>
      <c r="D25" s="6">
        <f t="shared" si="2"/>
        <v>-14</v>
      </c>
      <c r="E25" s="6">
        <f t="shared" si="3"/>
        <v>25</v>
      </c>
    </row>
    <row r="26" spans="1:5" ht="16.2" thickBot="1" x14ac:dyDescent="0.35">
      <c r="A26" s="32" t="s">
        <v>149</v>
      </c>
      <c r="B26" s="25">
        <v>1</v>
      </c>
      <c r="C26" s="25"/>
      <c r="D26" s="25" t="s">
        <v>91</v>
      </c>
      <c r="E26" s="25" t="s">
        <v>92</v>
      </c>
    </row>
    <row r="27" spans="1:5" ht="31.8" thickBot="1" x14ac:dyDescent="0.35">
      <c r="A27" s="11" t="s">
        <v>150</v>
      </c>
      <c r="B27" s="6">
        <v>0.2</v>
      </c>
      <c r="C27" s="6">
        <v>2</v>
      </c>
      <c r="D27" s="6">
        <f>SUMIF($C$27:$C$32, "&lt;0")</f>
        <v>-1</v>
      </c>
      <c r="E27" s="6">
        <f>SUMIF($C$27:$C$32, "&gt;0")</f>
        <v>8</v>
      </c>
    </row>
    <row r="28" spans="1:5" ht="31.8" thickBot="1" x14ac:dyDescent="0.35">
      <c r="A28" s="11" t="s">
        <v>151</v>
      </c>
      <c r="B28" s="6">
        <v>0.15</v>
      </c>
      <c r="C28" s="6">
        <v>-1</v>
      </c>
      <c r="D28" s="6">
        <f t="shared" ref="D28:D32" si="4">SUMIF($C$27:$C$32, "&lt;0")</f>
        <v>-1</v>
      </c>
      <c r="E28" s="6">
        <f t="shared" ref="E28:E32" si="5">SUMIF($C$27:$C$32, "&gt;0")</f>
        <v>8</v>
      </c>
    </row>
    <row r="29" spans="1:5" ht="16.2" thickBot="1" x14ac:dyDescent="0.35">
      <c r="A29" s="11" t="s">
        <v>152</v>
      </c>
      <c r="B29" s="6">
        <v>0.2</v>
      </c>
      <c r="C29" s="6">
        <v>1</v>
      </c>
      <c r="D29" s="6">
        <f t="shared" si="4"/>
        <v>-1</v>
      </c>
      <c r="E29" s="6">
        <f t="shared" si="5"/>
        <v>8</v>
      </c>
    </row>
    <row r="30" spans="1:5" ht="31.8" thickBot="1" x14ac:dyDescent="0.35">
      <c r="A30" s="11" t="s">
        <v>153</v>
      </c>
      <c r="B30" s="6">
        <v>0.1</v>
      </c>
      <c r="C30" s="6">
        <v>2</v>
      </c>
      <c r="D30" s="6">
        <f t="shared" si="4"/>
        <v>-1</v>
      </c>
      <c r="E30" s="6">
        <f t="shared" si="5"/>
        <v>8</v>
      </c>
    </row>
    <row r="31" spans="1:5" ht="31.8" thickBot="1" x14ac:dyDescent="0.35">
      <c r="A31" s="11" t="s">
        <v>154</v>
      </c>
      <c r="B31" s="6">
        <v>0.15</v>
      </c>
      <c r="C31" s="6">
        <v>2</v>
      </c>
      <c r="D31" s="6">
        <f t="shared" si="4"/>
        <v>-1</v>
      </c>
      <c r="E31" s="6">
        <f t="shared" si="5"/>
        <v>8</v>
      </c>
    </row>
    <row r="32" spans="1:5" ht="31.8" thickBot="1" x14ac:dyDescent="0.35">
      <c r="A32" s="11" t="s">
        <v>155</v>
      </c>
      <c r="B32" s="6">
        <v>0.2</v>
      </c>
      <c r="C32" s="6">
        <v>1</v>
      </c>
      <c r="D32" s="6">
        <f t="shared" si="4"/>
        <v>-1</v>
      </c>
      <c r="E32" s="6">
        <f t="shared" si="5"/>
        <v>8</v>
      </c>
    </row>
    <row r="33" spans="1:5" ht="16.2" thickBot="1" x14ac:dyDescent="0.35">
      <c r="A33" s="32" t="s">
        <v>156</v>
      </c>
      <c r="B33" s="25">
        <v>1</v>
      </c>
      <c r="C33" s="25"/>
      <c r="D33" s="25" t="s">
        <v>91</v>
      </c>
      <c r="E33" s="25" t="s">
        <v>92</v>
      </c>
    </row>
    <row r="34" spans="1:5" ht="47.4" thickBot="1" x14ac:dyDescent="0.35">
      <c r="A34" s="11" t="s">
        <v>157</v>
      </c>
      <c r="B34" s="6">
        <v>0.25</v>
      </c>
      <c r="C34" s="6">
        <v>1</v>
      </c>
      <c r="D34" s="6">
        <f>SUMIF($C$34:$C$37, "&lt;0")</f>
        <v>-4</v>
      </c>
      <c r="E34" s="6">
        <f>SUMIF($C$34:$C$37, "&gt;0")</f>
        <v>1</v>
      </c>
    </row>
    <row r="35" spans="1:5" ht="31.8" thickBot="1" x14ac:dyDescent="0.35">
      <c r="A35" s="11" t="s">
        <v>158</v>
      </c>
      <c r="B35" s="6">
        <v>0.2</v>
      </c>
      <c r="C35" s="6">
        <v>-1</v>
      </c>
      <c r="D35" s="6">
        <f t="shared" ref="D35:D37" si="6">SUMIF($C$34:$C$37, "&lt;0")</f>
        <v>-4</v>
      </c>
      <c r="E35" s="6">
        <f t="shared" ref="E35:E37" si="7">SUMIF($C$34:$C$37, "&gt;0")</f>
        <v>1</v>
      </c>
    </row>
    <row r="36" spans="1:5" ht="47.4" thickBot="1" x14ac:dyDescent="0.35">
      <c r="A36" s="11" t="s">
        <v>159</v>
      </c>
      <c r="B36" s="6">
        <v>0.15</v>
      </c>
      <c r="C36" s="6">
        <v>-1</v>
      </c>
      <c r="D36" s="6">
        <f t="shared" si="6"/>
        <v>-4</v>
      </c>
      <c r="E36" s="6">
        <f t="shared" si="7"/>
        <v>1</v>
      </c>
    </row>
    <row r="37" spans="1:5" ht="31.8" thickBot="1" x14ac:dyDescent="0.35">
      <c r="A37" s="11" t="s">
        <v>160</v>
      </c>
      <c r="B37" s="6">
        <v>0.2</v>
      </c>
      <c r="C37" s="6">
        <v>-2</v>
      </c>
      <c r="D37" s="6">
        <f t="shared" si="6"/>
        <v>-4</v>
      </c>
      <c r="E37" s="6">
        <f t="shared" si="7"/>
        <v>1</v>
      </c>
    </row>
    <row r="38" spans="1:5" ht="16.2" thickBot="1" x14ac:dyDescent="0.35">
      <c r="A38" s="32" t="s">
        <v>161</v>
      </c>
      <c r="B38" s="25">
        <v>1</v>
      </c>
      <c r="C38" s="25"/>
      <c r="D38" s="25" t="s">
        <v>91</v>
      </c>
      <c r="E38" s="25" t="s">
        <v>92</v>
      </c>
    </row>
    <row r="39" spans="1:5" ht="31.8" thickBot="1" x14ac:dyDescent="0.35">
      <c r="A39" s="11" t="s">
        <v>162</v>
      </c>
      <c r="B39" s="6">
        <v>0.3</v>
      </c>
      <c r="C39" s="6">
        <v>1</v>
      </c>
      <c r="D39" s="6">
        <f>SUMIF($C$39:$C$41, "&lt;0")</f>
        <v>-1</v>
      </c>
      <c r="E39" s="6">
        <f>SUMIF($C$39:$C$41, "&gt;0")</f>
        <v>3</v>
      </c>
    </row>
    <row r="40" spans="1:5" ht="47.4" thickBot="1" x14ac:dyDescent="0.35">
      <c r="A40" s="11" t="s">
        <v>163</v>
      </c>
      <c r="B40" s="6">
        <v>0.2</v>
      </c>
      <c r="C40" s="6">
        <v>-1</v>
      </c>
      <c r="D40" s="6">
        <f>SUMIF($C$39:$C$41, "&lt;0")</f>
        <v>-1</v>
      </c>
      <c r="E40" s="6">
        <f>SUMIF($C$39:$C$41, "&gt;0")</f>
        <v>3</v>
      </c>
    </row>
    <row r="41" spans="1:5" ht="31.8" thickBot="1" x14ac:dyDescent="0.35">
      <c r="A41" s="11" t="s">
        <v>164</v>
      </c>
      <c r="B41" s="6">
        <v>0.2</v>
      </c>
      <c r="C41" s="6">
        <v>2</v>
      </c>
      <c r="D41" s="6">
        <f>SUMIF($C$39:$C$41, "&lt;0")</f>
        <v>-1</v>
      </c>
      <c r="E41" s="6">
        <f>SUMIF($C$39:$C$41, "&gt;0")</f>
        <v>3</v>
      </c>
    </row>
    <row r="42" spans="1:5" ht="16.2" thickBot="1" x14ac:dyDescent="0.35">
      <c r="A42" s="32" t="s">
        <v>124</v>
      </c>
      <c r="B42" s="64"/>
      <c r="C42" s="64"/>
      <c r="D42" s="65" t="s">
        <v>91</v>
      </c>
      <c r="E42" s="65" t="s">
        <v>92</v>
      </c>
    </row>
    <row r="43" spans="1:5" ht="15.6" x14ac:dyDescent="0.3">
      <c r="A43" s="19"/>
    </row>
    <row r="44" spans="1:5" ht="15.6" x14ac:dyDescent="0.3">
      <c r="A44" s="19"/>
    </row>
    <row r="45" spans="1:5" ht="15.6" x14ac:dyDescent="0.3">
      <c r="A45" s="1" t="s">
        <v>346</v>
      </c>
    </row>
    <row r="46" spans="1:5" ht="15.6" x14ac:dyDescent="0.3">
      <c r="A46" s="1" t="s">
        <v>165</v>
      </c>
    </row>
    <row r="47" spans="1:5" ht="15.6" x14ac:dyDescent="0.3">
      <c r="A47" s="1" t="s">
        <v>126</v>
      </c>
    </row>
    <row r="48" spans="1:5" ht="15.6" x14ac:dyDescent="0.3">
      <c r="A48" s="1"/>
    </row>
    <row r="49" spans="1:2" ht="16.2" thickBot="1" x14ac:dyDescent="0.35">
      <c r="A49" s="19"/>
    </row>
    <row r="50" spans="1:2" ht="16.2" thickBot="1" x14ac:dyDescent="0.35">
      <c r="A50" s="27" t="s">
        <v>88</v>
      </c>
      <c r="B50" s="18" t="s">
        <v>89</v>
      </c>
    </row>
    <row r="51" spans="1:2" ht="31.8" thickBot="1" x14ac:dyDescent="0.35">
      <c r="A51" s="11" t="s">
        <v>166</v>
      </c>
      <c r="B51" s="6" t="s">
        <v>167</v>
      </c>
    </row>
    <row r="52" spans="1:2" ht="16.2" thickBot="1" x14ac:dyDescent="0.35">
      <c r="A52" s="11"/>
      <c r="B52" s="14"/>
    </row>
    <row r="53" spans="1:2" ht="18" x14ac:dyDescent="0.35">
      <c r="A53" s="33"/>
    </row>
    <row r="54" spans="1:2" ht="18" x14ac:dyDescent="0.35">
      <c r="A54" s="15"/>
    </row>
  </sheetData>
  <mergeCells count="3">
    <mergeCell ref="A5:A7"/>
    <mergeCell ref="D5:E5"/>
    <mergeCell ref="D6:E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60"/>
  <sheetViews>
    <sheetView topLeftCell="A38" zoomScale="70" zoomScaleNormal="70" workbookViewId="0">
      <selection activeCell="D46" sqref="D46"/>
    </sheetView>
  </sheetViews>
  <sheetFormatPr defaultRowHeight="14.4" x14ac:dyDescent="0.3"/>
  <cols>
    <col min="1" max="1" width="26.5546875" customWidth="1"/>
    <col min="2" max="2" width="23.44140625" customWidth="1"/>
    <col min="3" max="3" width="35.33203125" customWidth="1"/>
  </cols>
  <sheetData>
    <row r="2" spans="1:3" ht="18" x14ac:dyDescent="0.35">
      <c r="A2" s="34" t="s">
        <v>347</v>
      </c>
    </row>
    <row r="3" spans="1:3" ht="18" x14ac:dyDescent="0.35">
      <c r="A3" s="34" t="s">
        <v>168</v>
      </c>
    </row>
    <row r="4" spans="1:3" ht="18" x14ac:dyDescent="0.35">
      <c r="A4" s="34" t="s">
        <v>169</v>
      </c>
    </row>
    <row r="5" spans="1:3" ht="18" x14ac:dyDescent="0.35">
      <c r="A5" s="15"/>
    </row>
    <row r="6" spans="1:3" ht="79.95" customHeight="1" x14ac:dyDescent="0.3">
      <c r="A6" s="66" t="s">
        <v>487</v>
      </c>
      <c r="B6" s="66" t="s">
        <v>488</v>
      </c>
      <c r="C6" s="66" t="s">
        <v>489</v>
      </c>
    </row>
    <row r="7" spans="1:3" x14ac:dyDescent="0.3">
      <c r="A7" s="67" t="s">
        <v>490</v>
      </c>
      <c r="B7" s="68"/>
      <c r="C7" s="68"/>
    </row>
    <row r="8" spans="1:3" ht="97.05" customHeight="1" x14ac:dyDescent="0.3">
      <c r="A8" s="68" t="s">
        <v>172</v>
      </c>
      <c r="B8" s="68">
        <v>4</v>
      </c>
      <c r="C8" s="68" t="s">
        <v>491</v>
      </c>
    </row>
    <row r="9" spans="1:3" ht="57" customHeight="1" x14ac:dyDescent="0.3">
      <c r="A9" s="68" t="s">
        <v>492</v>
      </c>
      <c r="B9" s="68">
        <v>3</v>
      </c>
      <c r="C9" s="68" t="s">
        <v>493</v>
      </c>
    </row>
    <row r="10" spans="1:3" ht="33" customHeight="1" x14ac:dyDescent="0.3">
      <c r="A10" s="68" t="s">
        <v>173</v>
      </c>
      <c r="B10" s="68">
        <v>3</v>
      </c>
      <c r="C10" s="68" t="s">
        <v>494</v>
      </c>
    </row>
    <row r="11" spans="1:3" ht="46.95" customHeight="1" x14ac:dyDescent="0.3">
      <c r="A11" s="68" t="s">
        <v>174</v>
      </c>
      <c r="B11" s="68">
        <v>3</v>
      </c>
      <c r="C11" s="68" t="s">
        <v>495</v>
      </c>
    </row>
    <row r="12" spans="1:3" ht="65.55" customHeight="1" x14ac:dyDescent="0.3">
      <c r="A12" s="68" t="s">
        <v>496</v>
      </c>
      <c r="B12" s="68">
        <v>4</v>
      </c>
      <c r="C12" s="68" t="s">
        <v>497</v>
      </c>
    </row>
    <row r="13" spans="1:3" ht="49.05" customHeight="1" x14ac:dyDescent="0.3">
      <c r="A13" s="68" t="s">
        <v>175</v>
      </c>
      <c r="B13" s="68">
        <v>3</v>
      </c>
      <c r="C13" s="68" t="s">
        <v>498</v>
      </c>
    </row>
    <row r="14" spans="1:3" x14ac:dyDescent="0.3">
      <c r="A14" s="67" t="s">
        <v>499</v>
      </c>
      <c r="B14" s="68"/>
      <c r="C14" s="68"/>
    </row>
    <row r="15" spans="1:3" ht="43.05" customHeight="1" x14ac:dyDescent="0.3">
      <c r="A15" s="68" t="s">
        <v>177</v>
      </c>
      <c r="B15" s="68">
        <v>3</v>
      </c>
      <c r="C15" s="68" t="s">
        <v>500</v>
      </c>
    </row>
    <row r="16" spans="1:3" ht="36" customHeight="1" x14ac:dyDescent="0.3">
      <c r="A16" s="68" t="s">
        <v>178</v>
      </c>
      <c r="B16" s="68">
        <v>4</v>
      </c>
      <c r="C16" s="68" t="s">
        <v>501</v>
      </c>
    </row>
    <row r="17" spans="1:3" ht="34.950000000000003" customHeight="1" x14ac:dyDescent="0.3">
      <c r="A17" s="68" t="s">
        <v>502</v>
      </c>
      <c r="B17" s="68">
        <v>3</v>
      </c>
      <c r="C17" s="68" t="s">
        <v>503</v>
      </c>
    </row>
    <row r="18" spans="1:3" ht="42.45" customHeight="1" x14ac:dyDescent="0.3">
      <c r="A18" s="68" t="s">
        <v>504</v>
      </c>
      <c r="B18" s="68">
        <v>4</v>
      </c>
      <c r="C18" s="68" t="s">
        <v>505</v>
      </c>
    </row>
    <row r="19" spans="1:3" ht="67.05" customHeight="1" x14ac:dyDescent="0.3">
      <c r="A19" s="68" t="s">
        <v>506</v>
      </c>
      <c r="B19" s="68">
        <v>2</v>
      </c>
      <c r="C19" s="68" t="s">
        <v>507</v>
      </c>
    </row>
    <row r="20" spans="1:3" ht="33.450000000000003" customHeight="1" x14ac:dyDescent="0.3">
      <c r="A20" s="68" t="s">
        <v>508</v>
      </c>
      <c r="B20" s="68">
        <v>3</v>
      </c>
      <c r="C20" s="68" t="s">
        <v>509</v>
      </c>
    </row>
    <row r="21" spans="1:3" ht="53.55" customHeight="1" x14ac:dyDescent="0.3">
      <c r="A21" s="68" t="s">
        <v>510</v>
      </c>
      <c r="B21" s="68">
        <v>4</v>
      </c>
      <c r="C21" s="68" t="s">
        <v>511</v>
      </c>
    </row>
    <row r="22" spans="1:3" ht="36.450000000000003" customHeight="1" x14ac:dyDescent="0.3">
      <c r="A22" s="68" t="s">
        <v>512</v>
      </c>
      <c r="B22" s="68">
        <v>3</v>
      </c>
      <c r="C22" s="68" t="s">
        <v>513</v>
      </c>
    </row>
    <row r="23" spans="1:3" ht="35.549999999999997" customHeight="1" x14ac:dyDescent="0.3">
      <c r="A23" s="68" t="s">
        <v>514</v>
      </c>
      <c r="B23" s="68">
        <v>4</v>
      </c>
      <c r="C23" s="68" t="s">
        <v>515</v>
      </c>
    </row>
    <row r="24" spans="1:3" ht="52.05" customHeight="1" x14ac:dyDescent="0.3">
      <c r="A24" s="68" t="s">
        <v>516</v>
      </c>
      <c r="B24" s="68">
        <v>3</v>
      </c>
      <c r="C24" s="68" t="s">
        <v>517</v>
      </c>
    </row>
    <row r="25" spans="1:3" x14ac:dyDescent="0.3">
      <c r="A25" s="67" t="s">
        <v>518</v>
      </c>
      <c r="B25" s="68"/>
      <c r="C25" s="68"/>
    </row>
    <row r="26" spans="1:3" ht="72.45" customHeight="1" x14ac:dyDescent="0.3">
      <c r="A26" s="68" t="s">
        <v>519</v>
      </c>
      <c r="B26" s="68">
        <v>3</v>
      </c>
      <c r="C26" s="68" t="s">
        <v>520</v>
      </c>
    </row>
    <row r="27" spans="1:3" ht="40.950000000000003" customHeight="1" x14ac:dyDescent="0.3">
      <c r="A27" s="68" t="s">
        <v>180</v>
      </c>
      <c r="B27" s="68">
        <v>3</v>
      </c>
      <c r="C27" s="68" t="s">
        <v>521</v>
      </c>
    </row>
    <row r="28" spans="1:3" ht="33" customHeight="1" x14ac:dyDescent="0.3">
      <c r="A28" s="68" t="s">
        <v>181</v>
      </c>
      <c r="B28" s="68">
        <v>4</v>
      </c>
      <c r="C28" s="68" t="s">
        <v>522</v>
      </c>
    </row>
    <row r="29" spans="1:3" ht="35.549999999999997" customHeight="1" x14ac:dyDescent="0.3">
      <c r="A29" s="68" t="s">
        <v>182</v>
      </c>
      <c r="B29" s="68">
        <v>4</v>
      </c>
      <c r="C29" s="68" t="s">
        <v>523</v>
      </c>
    </row>
    <row r="30" spans="1:3" ht="58.5" customHeight="1" x14ac:dyDescent="0.3">
      <c r="A30" s="68" t="s">
        <v>183</v>
      </c>
      <c r="B30" s="68">
        <v>4</v>
      </c>
      <c r="C30" s="68" t="s">
        <v>524</v>
      </c>
    </row>
    <row r="31" spans="1:3" x14ac:dyDescent="0.3">
      <c r="A31" s="67" t="s">
        <v>525</v>
      </c>
      <c r="B31" s="68"/>
      <c r="C31" s="68"/>
    </row>
    <row r="32" spans="1:3" ht="55.95" customHeight="1" x14ac:dyDescent="0.3">
      <c r="A32" s="68" t="s">
        <v>526</v>
      </c>
      <c r="B32" s="68">
        <v>4</v>
      </c>
      <c r="C32" s="68" t="s">
        <v>527</v>
      </c>
    </row>
    <row r="33" spans="1:3" ht="49.95" customHeight="1" x14ac:dyDescent="0.3">
      <c r="A33" s="68" t="s">
        <v>528</v>
      </c>
      <c r="B33" s="68">
        <v>3</v>
      </c>
      <c r="C33" s="68" t="s">
        <v>529</v>
      </c>
    </row>
    <row r="34" spans="1:3" ht="53.55" customHeight="1" x14ac:dyDescent="0.3">
      <c r="A34" s="68" t="s">
        <v>185</v>
      </c>
      <c r="B34" s="68">
        <v>2</v>
      </c>
      <c r="C34" s="68" t="s">
        <v>530</v>
      </c>
    </row>
    <row r="35" spans="1:3" ht="45.45" customHeight="1" x14ac:dyDescent="0.3">
      <c r="A35" s="68" t="s">
        <v>186</v>
      </c>
      <c r="B35" s="68">
        <v>3</v>
      </c>
      <c r="C35" s="68" t="s">
        <v>531</v>
      </c>
    </row>
    <row r="36" spans="1:3" x14ac:dyDescent="0.3">
      <c r="A36" s="67" t="s">
        <v>532</v>
      </c>
      <c r="B36" s="68"/>
      <c r="C36" s="68"/>
    </row>
    <row r="37" spans="1:3" ht="52.5" customHeight="1" x14ac:dyDescent="0.3">
      <c r="A37" s="68" t="s">
        <v>188</v>
      </c>
      <c r="B37" s="68">
        <v>4</v>
      </c>
      <c r="C37" s="68" t="s">
        <v>533</v>
      </c>
    </row>
    <row r="38" spans="1:3" ht="32.549999999999997" customHeight="1" x14ac:dyDescent="0.3">
      <c r="A38" s="68" t="s">
        <v>189</v>
      </c>
      <c r="B38" s="68">
        <v>4</v>
      </c>
      <c r="C38" s="68" t="s">
        <v>534</v>
      </c>
    </row>
    <row r="39" spans="1:3" ht="36" customHeight="1" x14ac:dyDescent="0.3">
      <c r="A39" s="68" t="s">
        <v>190</v>
      </c>
      <c r="B39" s="68">
        <v>3</v>
      </c>
      <c r="C39" s="68" t="s">
        <v>535</v>
      </c>
    </row>
    <row r="40" spans="1:3" ht="28.8" x14ac:dyDescent="0.3">
      <c r="A40" s="67" t="s">
        <v>536</v>
      </c>
      <c r="B40" s="68"/>
      <c r="C40" s="68"/>
    </row>
    <row r="41" spans="1:3" ht="61.05" customHeight="1" x14ac:dyDescent="0.3">
      <c r="A41" s="68" t="s">
        <v>192</v>
      </c>
      <c r="B41" s="68">
        <v>3</v>
      </c>
      <c r="C41" s="68" t="s">
        <v>537</v>
      </c>
    </row>
    <row r="42" spans="1:3" ht="60.45" customHeight="1" x14ac:dyDescent="0.3">
      <c r="A42" s="68" t="s">
        <v>193</v>
      </c>
      <c r="B42" s="68">
        <v>3</v>
      </c>
      <c r="C42" s="68" t="s">
        <v>538</v>
      </c>
    </row>
    <row r="43" spans="1:3" ht="61.05" customHeight="1" x14ac:dyDescent="0.3">
      <c r="A43" s="68" t="s">
        <v>539</v>
      </c>
      <c r="B43" s="68">
        <v>3</v>
      </c>
      <c r="C43" s="68" t="s">
        <v>540</v>
      </c>
    </row>
    <row r="44" spans="1:3" ht="36.450000000000003" customHeight="1" x14ac:dyDescent="0.3">
      <c r="A44" s="68" t="s">
        <v>541</v>
      </c>
      <c r="B44" s="68">
        <v>3</v>
      </c>
      <c r="C44" s="68" t="s">
        <v>542</v>
      </c>
    </row>
    <row r="45" spans="1:3" ht="49.95" customHeight="1" x14ac:dyDescent="0.3">
      <c r="A45" s="68" t="s">
        <v>543</v>
      </c>
      <c r="B45" s="68">
        <v>3</v>
      </c>
      <c r="C45" s="68" t="s">
        <v>544</v>
      </c>
    </row>
    <row r="46" spans="1:3" ht="41.55" customHeight="1" x14ac:dyDescent="0.3">
      <c r="A46" s="68" t="s">
        <v>545</v>
      </c>
      <c r="B46" s="68">
        <v>4</v>
      </c>
      <c r="C46" s="68" t="s">
        <v>546</v>
      </c>
    </row>
    <row r="48" spans="1:3" ht="18" x14ac:dyDescent="0.35">
      <c r="A48" s="15"/>
    </row>
    <row r="49" spans="1:7" ht="18" x14ac:dyDescent="0.35">
      <c r="A49" s="34" t="s">
        <v>348</v>
      </c>
    </row>
    <row r="50" spans="1:7" ht="18" x14ac:dyDescent="0.35">
      <c r="A50" s="34" t="s">
        <v>194</v>
      </c>
    </row>
    <row r="51" spans="1:7" ht="18.600000000000001" thickBot="1" x14ac:dyDescent="0.4">
      <c r="A51" s="15"/>
    </row>
    <row r="52" spans="1:7" ht="34.200000000000003" customHeight="1" thickBot="1" x14ac:dyDescent="0.35">
      <c r="A52" s="93" t="s">
        <v>195</v>
      </c>
      <c r="B52" s="88" t="s">
        <v>196</v>
      </c>
      <c r="C52" s="95" t="s">
        <v>170</v>
      </c>
      <c r="D52" s="96"/>
      <c r="E52" s="96"/>
      <c r="F52" s="96"/>
      <c r="G52" s="97"/>
    </row>
    <row r="53" spans="1:7" ht="28.2" thickBot="1" x14ac:dyDescent="0.35">
      <c r="A53" s="94"/>
      <c r="B53" s="90"/>
      <c r="C53" s="36" t="s">
        <v>197</v>
      </c>
      <c r="D53" s="36" t="s">
        <v>198</v>
      </c>
      <c r="E53" s="36" t="s">
        <v>199</v>
      </c>
      <c r="F53" s="36" t="s">
        <v>200</v>
      </c>
      <c r="G53" s="36" t="s">
        <v>201</v>
      </c>
    </row>
    <row r="54" spans="1:7" ht="16.2" thickBot="1" x14ac:dyDescent="0.35">
      <c r="A54" s="37">
        <v>1</v>
      </c>
      <c r="B54" s="14" t="s">
        <v>171</v>
      </c>
      <c r="C54" s="6"/>
      <c r="D54" s="6" t="s">
        <v>547</v>
      </c>
      <c r="E54" s="6"/>
      <c r="F54" s="6"/>
      <c r="G54" s="6"/>
    </row>
    <row r="55" spans="1:7" ht="16.2" thickBot="1" x14ac:dyDescent="0.35">
      <c r="A55" s="37">
        <v>2</v>
      </c>
      <c r="B55" s="14" t="s">
        <v>176</v>
      </c>
      <c r="C55" s="6" t="s">
        <v>547</v>
      </c>
      <c r="D55" s="6"/>
      <c r="E55" s="6"/>
      <c r="F55" s="6"/>
      <c r="G55" s="6"/>
    </row>
    <row r="56" spans="1:7" ht="31.8" thickBot="1" x14ac:dyDescent="0.35">
      <c r="A56" s="37">
        <v>3</v>
      </c>
      <c r="B56" s="14" t="s">
        <v>179</v>
      </c>
      <c r="C56" s="6"/>
      <c r="D56" s="6"/>
      <c r="E56" s="6" t="s">
        <v>547</v>
      </c>
      <c r="F56" s="6"/>
      <c r="G56" s="6"/>
    </row>
    <row r="57" spans="1:7" ht="16.2" thickBot="1" x14ac:dyDescent="0.35">
      <c r="A57" s="37">
        <v>4</v>
      </c>
      <c r="B57" s="14" t="s">
        <v>184</v>
      </c>
      <c r="C57" s="6"/>
      <c r="D57" s="6" t="s">
        <v>547</v>
      </c>
      <c r="E57" s="6"/>
      <c r="F57" s="6"/>
      <c r="G57" s="6"/>
    </row>
    <row r="58" spans="1:7" ht="31.8" thickBot="1" x14ac:dyDescent="0.35">
      <c r="A58" s="37">
        <v>5</v>
      </c>
      <c r="B58" s="14" t="s">
        <v>187</v>
      </c>
      <c r="C58" s="6" t="s">
        <v>547</v>
      </c>
      <c r="D58" s="6"/>
      <c r="E58" s="6"/>
      <c r="F58" s="6"/>
      <c r="G58" s="6"/>
    </row>
    <row r="59" spans="1:7" ht="47.4" thickBot="1" x14ac:dyDescent="0.35">
      <c r="A59" s="37">
        <v>6</v>
      </c>
      <c r="B59" s="14" t="s">
        <v>191</v>
      </c>
      <c r="C59" s="6"/>
      <c r="D59" s="6"/>
      <c r="E59" s="6" t="s">
        <v>547</v>
      </c>
      <c r="F59" s="6"/>
      <c r="G59" s="6"/>
    </row>
    <row r="60" spans="1:7" ht="18" x14ac:dyDescent="0.35">
      <c r="A60" s="15"/>
    </row>
  </sheetData>
  <mergeCells count="3">
    <mergeCell ref="A52:A53"/>
    <mergeCell ref="B52:B53"/>
    <mergeCell ref="C52:G5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68"/>
  <sheetViews>
    <sheetView topLeftCell="A27" zoomScale="61" workbookViewId="0">
      <selection activeCell="A2" sqref="A2:I68"/>
    </sheetView>
  </sheetViews>
  <sheetFormatPr defaultRowHeight="14.4" x14ac:dyDescent="0.3"/>
  <cols>
    <col min="1" max="1" width="18.77734375" customWidth="1"/>
    <col min="2" max="2" width="16" customWidth="1"/>
    <col min="3" max="3" width="25.33203125" customWidth="1"/>
  </cols>
  <sheetData>
    <row r="2" spans="1:3" ht="15.6" x14ac:dyDescent="0.3">
      <c r="A2" s="1" t="s">
        <v>349</v>
      </c>
    </row>
    <row r="3" spans="1:3" ht="62.4" x14ac:dyDescent="0.3">
      <c r="A3" s="44" t="s">
        <v>202</v>
      </c>
    </row>
    <row r="4" spans="1:3" ht="16.2" thickBot="1" x14ac:dyDescent="0.35">
      <c r="A4" s="1"/>
    </row>
    <row r="5" spans="1:3" ht="31.8" thickBot="1" x14ac:dyDescent="0.35">
      <c r="A5" s="17" t="s">
        <v>203</v>
      </c>
      <c r="B5" s="18" t="s">
        <v>204</v>
      </c>
      <c r="C5" s="18" t="s">
        <v>205</v>
      </c>
    </row>
    <row r="6" spans="1:3" ht="16.2" thickBot="1" x14ac:dyDescent="0.35">
      <c r="A6" s="9" t="s">
        <v>206</v>
      </c>
      <c r="B6" s="14"/>
      <c r="C6" s="14"/>
    </row>
    <row r="7" spans="1:3" ht="16.2" thickBot="1" x14ac:dyDescent="0.35">
      <c r="A7" s="9" t="s">
        <v>207</v>
      </c>
      <c r="B7" s="14"/>
      <c r="C7" s="14"/>
    </row>
    <row r="8" spans="1:3" ht="16.2" thickBot="1" x14ac:dyDescent="0.35">
      <c r="A8" s="9" t="s">
        <v>208</v>
      </c>
      <c r="B8" s="14"/>
      <c r="C8" s="14"/>
    </row>
    <row r="9" spans="1:3" ht="16.2" thickBot="1" x14ac:dyDescent="0.35">
      <c r="A9" s="9" t="s">
        <v>209</v>
      </c>
      <c r="B9" s="14"/>
      <c r="C9" s="14"/>
    </row>
    <row r="10" spans="1:3" ht="16.2" thickBot="1" x14ac:dyDescent="0.35">
      <c r="A10" s="9" t="s">
        <v>210</v>
      </c>
      <c r="B10" s="14"/>
      <c r="C10" s="14"/>
    </row>
    <row r="14" spans="1:3" ht="15.6" x14ac:dyDescent="0.3">
      <c r="A14" s="1" t="s">
        <v>350</v>
      </c>
    </row>
    <row r="15" spans="1:3" ht="62.4" x14ac:dyDescent="0.3">
      <c r="A15" s="44" t="s">
        <v>211</v>
      </c>
    </row>
    <row r="16" spans="1:3" ht="15.6" x14ac:dyDescent="0.3">
      <c r="A16" s="1"/>
    </row>
    <row r="17" spans="1:3" ht="16.2" thickBot="1" x14ac:dyDescent="0.35">
      <c r="A17" s="19"/>
    </row>
    <row r="18" spans="1:3" ht="31.8" thickBot="1" x14ac:dyDescent="0.35">
      <c r="A18" s="17" t="s">
        <v>203</v>
      </c>
      <c r="B18" s="18" t="s">
        <v>89</v>
      </c>
      <c r="C18" s="18" t="s">
        <v>88</v>
      </c>
    </row>
    <row r="19" spans="1:3" ht="16.2" thickBot="1" x14ac:dyDescent="0.35">
      <c r="A19" s="11" t="s">
        <v>212</v>
      </c>
      <c r="B19" s="14"/>
      <c r="C19" s="14"/>
    </row>
    <row r="20" spans="1:3" ht="16.2" thickBot="1" x14ac:dyDescent="0.35">
      <c r="A20" s="11" t="s">
        <v>213</v>
      </c>
      <c r="B20" s="14"/>
      <c r="C20" s="14"/>
    </row>
    <row r="21" spans="1:3" ht="16.2" thickBot="1" x14ac:dyDescent="0.35">
      <c r="A21" s="11" t="s">
        <v>214</v>
      </c>
      <c r="B21" s="14"/>
      <c r="C21" s="14"/>
    </row>
    <row r="22" spans="1:3" ht="16.2" thickBot="1" x14ac:dyDescent="0.35">
      <c r="A22" s="11" t="s">
        <v>215</v>
      </c>
      <c r="B22" s="14"/>
      <c r="C22" s="14"/>
    </row>
    <row r="23" spans="1:3" ht="31.8" thickBot="1" x14ac:dyDescent="0.35">
      <c r="A23" s="11" t="s">
        <v>216</v>
      </c>
      <c r="B23" s="14"/>
      <c r="C23" s="14"/>
    </row>
    <row r="24" spans="1:3" ht="47.4" thickBot="1" x14ac:dyDescent="0.35">
      <c r="A24" s="11" t="s">
        <v>217</v>
      </c>
      <c r="B24" s="14"/>
      <c r="C24" s="14"/>
    </row>
    <row r="25" spans="1:3" ht="47.4" thickBot="1" x14ac:dyDescent="0.35">
      <c r="A25" s="11" t="s">
        <v>218</v>
      </c>
      <c r="B25" s="14"/>
      <c r="C25" s="14"/>
    </row>
    <row r="26" spans="1:3" ht="47.4" thickBot="1" x14ac:dyDescent="0.35">
      <c r="A26" s="11" t="s">
        <v>219</v>
      </c>
      <c r="B26" s="14"/>
      <c r="C26" s="14"/>
    </row>
    <row r="27" spans="1:3" ht="47.4" thickBot="1" x14ac:dyDescent="0.35">
      <c r="A27" s="11" t="s">
        <v>220</v>
      </c>
      <c r="B27" s="14"/>
      <c r="C27" s="14"/>
    </row>
    <row r="28" spans="1:3" ht="47.4" thickBot="1" x14ac:dyDescent="0.35">
      <c r="A28" s="11" t="s">
        <v>221</v>
      </c>
      <c r="B28" s="14"/>
      <c r="C28" s="14"/>
    </row>
    <row r="32" spans="1:3" ht="15.6" x14ac:dyDescent="0.3">
      <c r="A32" s="1" t="s">
        <v>351</v>
      </c>
    </row>
    <row r="33" spans="1:3" ht="31.2" x14ac:dyDescent="0.3">
      <c r="A33" s="44" t="s">
        <v>222</v>
      </c>
    </row>
    <row r="34" spans="1:3" ht="16.2" thickBot="1" x14ac:dyDescent="0.35">
      <c r="A34" s="1"/>
    </row>
    <row r="35" spans="1:3" ht="31.2" x14ac:dyDescent="0.3">
      <c r="A35" s="88"/>
      <c r="B35" s="35" t="s">
        <v>223</v>
      </c>
      <c r="C35" s="35" t="s">
        <v>226</v>
      </c>
    </row>
    <row r="36" spans="1:3" ht="62.4" x14ac:dyDescent="0.3">
      <c r="A36" s="89"/>
      <c r="B36" s="38" t="s">
        <v>224</v>
      </c>
      <c r="C36" s="38" t="s">
        <v>227</v>
      </c>
    </row>
    <row r="37" spans="1:3" ht="16.2" thickBot="1" x14ac:dyDescent="0.35">
      <c r="A37" s="90"/>
      <c r="B37" s="14" t="s">
        <v>225</v>
      </c>
      <c r="C37" s="14" t="s">
        <v>225</v>
      </c>
    </row>
    <row r="38" spans="1:3" ht="78" x14ac:dyDescent="0.3">
      <c r="A38" s="10" t="s">
        <v>228</v>
      </c>
      <c r="B38" s="38" t="s">
        <v>231</v>
      </c>
      <c r="C38" s="88" t="s">
        <v>233</v>
      </c>
    </row>
    <row r="39" spans="1:3" ht="124.8" x14ac:dyDescent="0.3">
      <c r="A39" s="10" t="s">
        <v>229</v>
      </c>
      <c r="B39" s="38" t="s">
        <v>232</v>
      </c>
      <c r="C39" s="89"/>
    </row>
    <row r="40" spans="1:3" ht="16.2" thickBot="1" x14ac:dyDescent="0.35">
      <c r="A40" s="11" t="s">
        <v>230</v>
      </c>
      <c r="B40" s="20"/>
      <c r="C40" s="90"/>
    </row>
    <row r="41" spans="1:3" ht="155.4" customHeight="1" x14ac:dyDescent="0.3">
      <c r="A41" s="12" t="s">
        <v>234</v>
      </c>
      <c r="B41" s="88" t="s">
        <v>237</v>
      </c>
      <c r="C41" s="88" t="s">
        <v>238</v>
      </c>
    </row>
    <row r="42" spans="1:3" ht="46.8" x14ac:dyDescent="0.3">
      <c r="A42" s="12" t="s">
        <v>235</v>
      </c>
      <c r="B42" s="89"/>
      <c r="C42" s="89"/>
    </row>
    <row r="43" spans="1:3" ht="16.2" thickBot="1" x14ac:dyDescent="0.35">
      <c r="A43" s="9" t="s">
        <v>236</v>
      </c>
      <c r="B43" s="90"/>
      <c r="C43" s="90"/>
    </row>
    <row r="54" spans="1:9" ht="15.6" x14ac:dyDescent="0.3">
      <c r="A54" s="1" t="s">
        <v>352</v>
      </c>
    </row>
    <row r="55" spans="1:9" ht="31.2" x14ac:dyDescent="0.3">
      <c r="A55" s="44" t="s">
        <v>239</v>
      </c>
    </row>
    <row r="56" spans="1:9" ht="16.2" thickBot="1" x14ac:dyDescent="0.35">
      <c r="A56" s="1"/>
    </row>
    <row r="57" spans="1:9" x14ac:dyDescent="0.3">
      <c r="A57" s="116" t="s">
        <v>240</v>
      </c>
      <c r="B57" s="117"/>
      <c r="C57" s="98" t="s">
        <v>243</v>
      </c>
      <c r="D57" s="99"/>
      <c r="E57" s="100"/>
      <c r="F57" s="107" t="s">
        <v>244</v>
      </c>
      <c r="G57" s="108"/>
      <c r="H57" s="109"/>
      <c r="I57" s="78" t="s">
        <v>245</v>
      </c>
    </row>
    <row r="58" spans="1:9" x14ac:dyDescent="0.3">
      <c r="A58" s="118" t="s">
        <v>241</v>
      </c>
      <c r="B58" s="119"/>
      <c r="C58" s="101"/>
      <c r="D58" s="102"/>
      <c r="E58" s="103"/>
      <c r="F58" s="110"/>
      <c r="G58" s="111"/>
      <c r="H58" s="112"/>
      <c r="I58" s="79"/>
    </row>
    <row r="59" spans="1:9" ht="15.6" x14ac:dyDescent="0.3">
      <c r="A59" s="120"/>
      <c r="B59" s="121"/>
      <c r="C59" s="101"/>
      <c r="D59" s="102"/>
      <c r="E59" s="103"/>
      <c r="F59" s="110"/>
      <c r="G59" s="111"/>
      <c r="H59" s="112"/>
      <c r="I59" s="79"/>
    </row>
    <row r="60" spans="1:9" ht="15" thickBot="1" x14ac:dyDescent="0.35">
      <c r="A60" s="122" t="s">
        <v>242</v>
      </c>
      <c r="B60" s="123"/>
      <c r="C60" s="104"/>
      <c r="D60" s="105"/>
      <c r="E60" s="106"/>
      <c r="F60" s="113"/>
      <c r="G60" s="114"/>
      <c r="H60" s="115"/>
      <c r="I60" s="80"/>
    </row>
    <row r="61" spans="1:9" ht="16.2" thickBot="1" x14ac:dyDescent="0.35">
      <c r="A61" s="124" t="s">
        <v>241</v>
      </c>
      <c r="B61" s="125"/>
      <c r="C61" s="14" t="s">
        <v>246</v>
      </c>
      <c r="D61" s="14" t="s">
        <v>247</v>
      </c>
      <c r="E61" s="14" t="s">
        <v>554</v>
      </c>
      <c r="F61" s="14" t="s">
        <v>246</v>
      </c>
      <c r="G61" s="14" t="s">
        <v>247</v>
      </c>
      <c r="H61" s="14" t="s">
        <v>554</v>
      </c>
      <c r="I61" s="14"/>
    </row>
    <row r="62" spans="1:9" ht="31.8" thickBot="1" x14ac:dyDescent="0.35">
      <c r="A62" s="78" t="s">
        <v>248</v>
      </c>
      <c r="B62" s="14" t="s">
        <v>548</v>
      </c>
      <c r="C62" s="69"/>
      <c r="D62" s="69" t="s">
        <v>547</v>
      </c>
      <c r="E62" s="69"/>
      <c r="F62" s="71"/>
      <c r="G62" s="71"/>
      <c r="H62" s="71"/>
      <c r="I62" s="23"/>
    </row>
    <row r="63" spans="1:9" ht="47.4" thickBot="1" x14ac:dyDescent="0.35">
      <c r="A63" s="79"/>
      <c r="B63" s="14" t="s">
        <v>549</v>
      </c>
      <c r="C63" s="69"/>
      <c r="D63" s="69"/>
      <c r="E63" s="69" t="s">
        <v>547</v>
      </c>
      <c r="F63" s="71"/>
      <c r="G63" s="71"/>
      <c r="H63" s="71"/>
      <c r="I63" s="23"/>
    </row>
    <row r="64" spans="1:9" ht="63" thickBot="1" x14ac:dyDescent="0.35">
      <c r="A64" s="80"/>
      <c r="B64" s="14" t="s">
        <v>550</v>
      </c>
      <c r="C64" s="69" t="s">
        <v>547</v>
      </c>
      <c r="D64" s="69"/>
      <c r="E64" s="69"/>
      <c r="F64" s="71"/>
      <c r="G64" s="71"/>
      <c r="H64" s="71"/>
      <c r="I64" s="23"/>
    </row>
    <row r="65" spans="1:9" ht="78.599999999999994" thickBot="1" x14ac:dyDescent="0.35">
      <c r="A65" s="78" t="s">
        <v>249</v>
      </c>
      <c r="B65" s="14" t="s">
        <v>552</v>
      </c>
      <c r="C65" s="71"/>
      <c r="D65" s="71"/>
      <c r="E65" s="71"/>
      <c r="F65" s="70"/>
      <c r="G65" s="70" t="s">
        <v>547</v>
      </c>
      <c r="H65" s="70"/>
      <c r="I65" s="23"/>
    </row>
    <row r="66" spans="1:9" ht="31.8" thickBot="1" x14ac:dyDescent="0.35">
      <c r="A66" s="79"/>
      <c r="B66" s="14" t="s">
        <v>551</v>
      </c>
      <c r="C66" s="71"/>
      <c r="D66" s="71"/>
      <c r="E66" s="71"/>
      <c r="F66" s="70" t="s">
        <v>547</v>
      </c>
      <c r="G66" s="70"/>
      <c r="H66" s="70"/>
      <c r="I66" s="23"/>
    </row>
    <row r="67" spans="1:9" ht="63" thickBot="1" x14ac:dyDescent="0.35">
      <c r="A67" s="80"/>
      <c r="B67" s="14" t="s">
        <v>553</v>
      </c>
      <c r="C67" s="71"/>
      <c r="D67" s="71"/>
      <c r="E67" s="71"/>
      <c r="F67" s="70"/>
      <c r="G67" s="70" t="s">
        <v>547</v>
      </c>
      <c r="H67" s="70"/>
      <c r="I67" s="23"/>
    </row>
    <row r="68" spans="1:9" ht="16.2" thickBot="1" x14ac:dyDescent="0.35">
      <c r="A68" s="5" t="s">
        <v>250</v>
      </c>
      <c r="B68" s="14"/>
      <c r="C68" s="23" t="s">
        <v>251</v>
      </c>
      <c r="D68" s="23" t="s">
        <v>251</v>
      </c>
      <c r="E68" s="23" t="s">
        <v>251</v>
      </c>
      <c r="F68" s="23" t="s">
        <v>251</v>
      </c>
      <c r="G68" s="23" t="s">
        <v>251</v>
      </c>
      <c r="H68" s="23" t="s">
        <v>251</v>
      </c>
      <c r="I68" s="23" t="s">
        <v>251</v>
      </c>
    </row>
  </sheetData>
  <mergeCells count="14">
    <mergeCell ref="A62:A64"/>
    <mergeCell ref="A65:A67"/>
    <mergeCell ref="A59:B59"/>
    <mergeCell ref="A60:B60"/>
    <mergeCell ref="A61:B61"/>
    <mergeCell ref="C57:E60"/>
    <mergeCell ref="F57:H60"/>
    <mergeCell ref="I57:I60"/>
    <mergeCell ref="A35:A37"/>
    <mergeCell ref="C38:C40"/>
    <mergeCell ref="B41:B43"/>
    <mergeCell ref="C41:C43"/>
    <mergeCell ref="A57:B57"/>
    <mergeCell ref="A58:B5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81"/>
  <sheetViews>
    <sheetView topLeftCell="A13" workbookViewId="0">
      <selection activeCell="B16" sqref="B16"/>
    </sheetView>
  </sheetViews>
  <sheetFormatPr defaultRowHeight="14.4" x14ac:dyDescent="0.3"/>
  <cols>
    <col min="1" max="1" width="35.44140625" customWidth="1"/>
    <col min="2" max="2" width="67.5546875" customWidth="1"/>
  </cols>
  <sheetData>
    <row r="3" spans="1:2" ht="15.6" x14ac:dyDescent="0.3">
      <c r="A3" s="1" t="s">
        <v>353</v>
      </c>
    </row>
    <row r="4" spans="1:2" ht="31.2" x14ac:dyDescent="0.3">
      <c r="A4" s="44" t="s">
        <v>252</v>
      </c>
    </row>
    <row r="5" spans="1:2" ht="16.2" thickBot="1" x14ac:dyDescent="0.35">
      <c r="A5" s="19"/>
    </row>
    <row r="6" spans="1:2" ht="16.2" thickBot="1" x14ac:dyDescent="0.35">
      <c r="A6" s="27" t="s">
        <v>253</v>
      </c>
      <c r="B6" s="30" t="s">
        <v>254</v>
      </c>
    </row>
    <row r="7" spans="1:2" ht="328.05" customHeight="1" thickBot="1" x14ac:dyDescent="0.35">
      <c r="A7" s="72" t="s">
        <v>255</v>
      </c>
      <c r="B7" s="73" t="s">
        <v>555</v>
      </c>
    </row>
    <row r="8" spans="1:2" ht="125.4" thickBot="1" x14ac:dyDescent="0.35">
      <c r="A8" s="72" t="s">
        <v>256</v>
      </c>
      <c r="B8" s="74" t="s">
        <v>556</v>
      </c>
    </row>
    <row r="9" spans="1:2" ht="153" thickBot="1" x14ac:dyDescent="0.35">
      <c r="A9" s="72" t="s">
        <v>257</v>
      </c>
      <c r="B9" s="75" t="s">
        <v>557</v>
      </c>
    </row>
    <row r="10" spans="1:2" ht="15.6" x14ac:dyDescent="0.3">
      <c r="A10" s="19"/>
    </row>
    <row r="11" spans="1:2" ht="15.6" x14ac:dyDescent="0.3">
      <c r="A11" s="19"/>
    </row>
    <row r="12" spans="1:2" ht="15.6" x14ac:dyDescent="0.3">
      <c r="A12" s="1" t="s">
        <v>354</v>
      </c>
    </row>
    <row r="13" spans="1:2" ht="31.2" x14ac:dyDescent="0.3">
      <c r="A13" s="44" t="s">
        <v>258</v>
      </c>
    </row>
    <row r="14" spans="1:2" ht="16.2" thickBot="1" x14ac:dyDescent="0.35">
      <c r="A14" s="1"/>
    </row>
    <row r="15" spans="1:2" ht="31.8" thickBot="1" x14ac:dyDescent="0.35">
      <c r="A15" s="17" t="s">
        <v>259</v>
      </c>
      <c r="B15" s="18" t="s">
        <v>260</v>
      </c>
    </row>
    <row r="16" spans="1:2" ht="16.2" thickBot="1" x14ac:dyDescent="0.35">
      <c r="A16" s="11" t="s">
        <v>261</v>
      </c>
      <c r="B16" s="14"/>
    </row>
    <row r="17" spans="1:2" ht="16.2" thickBot="1" x14ac:dyDescent="0.35">
      <c r="A17" s="11" t="s">
        <v>262</v>
      </c>
      <c r="B17" s="14"/>
    </row>
    <row r="18" spans="1:2" ht="16.2" thickBot="1" x14ac:dyDescent="0.35">
      <c r="A18" s="11" t="s">
        <v>263</v>
      </c>
      <c r="B18" s="14"/>
    </row>
    <row r="19" spans="1:2" ht="16.2" thickBot="1" x14ac:dyDescent="0.35">
      <c r="A19" s="11" t="s">
        <v>264</v>
      </c>
      <c r="B19" s="14"/>
    </row>
    <row r="20" spans="1:2" ht="16.2" thickBot="1" x14ac:dyDescent="0.35">
      <c r="A20" s="11" t="s">
        <v>265</v>
      </c>
      <c r="B20" s="14"/>
    </row>
    <row r="21" spans="1:2" ht="16.2" thickBot="1" x14ac:dyDescent="0.35">
      <c r="A21" s="11" t="s">
        <v>266</v>
      </c>
      <c r="B21" s="14"/>
    </row>
    <row r="22" spans="1:2" ht="16.2" thickBot="1" x14ac:dyDescent="0.35">
      <c r="A22" s="11" t="s">
        <v>267</v>
      </c>
      <c r="B22" s="14"/>
    </row>
    <row r="23" spans="1:2" ht="16.2" thickBot="1" x14ac:dyDescent="0.35">
      <c r="A23" s="11" t="s">
        <v>264</v>
      </c>
      <c r="B23" s="14"/>
    </row>
    <row r="24" spans="1:2" ht="31.8" thickBot="1" x14ac:dyDescent="0.35">
      <c r="A24" s="11" t="s">
        <v>268</v>
      </c>
      <c r="B24" s="14"/>
    </row>
    <row r="25" spans="1:2" ht="16.2" thickBot="1" x14ac:dyDescent="0.35">
      <c r="A25" s="11" t="s">
        <v>269</v>
      </c>
      <c r="B25" s="14"/>
    </row>
    <row r="26" spans="1:2" ht="16.2" thickBot="1" x14ac:dyDescent="0.35">
      <c r="A26" s="11" t="s">
        <v>270</v>
      </c>
      <c r="B26" s="14"/>
    </row>
    <row r="27" spans="1:2" ht="16.2" thickBot="1" x14ac:dyDescent="0.35">
      <c r="A27" s="11" t="s">
        <v>271</v>
      </c>
      <c r="B27" s="14"/>
    </row>
    <row r="28" spans="1:2" ht="16.2" thickBot="1" x14ac:dyDescent="0.35">
      <c r="A28" s="11" t="s">
        <v>264</v>
      </c>
      <c r="B28" s="14"/>
    </row>
    <row r="29" spans="1:2" ht="16.2" thickBot="1" x14ac:dyDescent="0.35">
      <c r="A29" s="11" t="s">
        <v>272</v>
      </c>
      <c r="B29" s="14"/>
    </row>
    <row r="30" spans="1:2" ht="16.2" thickBot="1" x14ac:dyDescent="0.35">
      <c r="A30" s="11" t="s">
        <v>270</v>
      </c>
      <c r="B30" s="14"/>
    </row>
    <row r="31" spans="1:2" ht="16.2" thickBot="1" x14ac:dyDescent="0.35">
      <c r="A31" s="11" t="s">
        <v>271</v>
      </c>
      <c r="B31" s="14"/>
    </row>
    <row r="32" spans="1:2" ht="16.2" thickBot="1" x14ac:dyDescent="0.35">
      <c r="A32" s="11" t="s">
        <v>264</v>
      </c>
      <c r="B32" s="14"/>
    </row>
    <row r="33" spans="1:2" ht="16.2" thickBot="1" x14ac:dyDescent="0.35">
      <c r="A33" s="11" t="s">
        <v>273</v>
      </c>
      <c r="B33" s="14"/>
    </row>
    <row r="34" spans="1:2" ht="31.8" thickBot="1" x14ac:dyDescent="0.35">
      <c r="A34" s="11" t="s">
        <v>274</v>
      </c>
      <c r="B34" s="14"/>
    </row>
    <row r="35" spans="1:2" ht="16.2" thickBot="1" x14ac:dyDescent="0.35">
      <c r="A35" s="11" t="s">
        <v>275</v>
      </c>
      <c r="B35" s="14"/>
    </row>
    <row r="36" spans="1:2" ht="16.2" thickBot="1" x14ac:dyDescent="0.35">
      <c r="A36" s="11" t="s">
        <v>270</v>
      </c>
      <c r="B36" s="14"/>
    </row>
    <row r="37" spans="1:2" ht="16.2" thickBot="1" x14ac:dyDescent="0.35">
      <c r="A37" s="11" t="s">
        <v>271</v>
      </c>
      <c r="B37" s="14"/>
    </row>
    <row r="38" spans="1:2" ht="16.2" thickBot="1" x14ac:dyDescent="0.35">
      <c r="A38" s="11" t="s">
        <v>264</v>
      </c>
      <c r="B38" s="14"/>
    </row>
    <row r="39" spans="1:2" ht="16.2" thickBot="1" x14ac:dyDescent="0.35">
      <c r="A39" s="11" t="s">
        <v>276</v>
      </c>
      <c r="B39" s="14"/>
    </row>
    <row r="40" spans="1:2" ht="16.2" thickBot="1" x14ac:dyDescent="0.35">
      <c r="A40" s="11" t="s">
        <v>270</v>
      </c>
      <c r="B40" s="14"/>
    </row>
    <row r="41" spans="1:2" ht="16.2" thickBot="1" x14ac:dyDescent="0.35">
      <c r="A41" s="11" t="s">
        <v>271</v>
      </c>
      <c r="B41" s="14"/>
    </row>
    <row r="42" spans="1:2" ht="16.2" thickBot="1" x14ac:dyDescent="0.35">
      <c r="A42" s="11" t="s">
        <v>264</v>
      </c>
      <c r="B42" s="14"/>
    </row>
    <row r="43" spans="1:2" ht="31.8" thickBot="1" x14ac:dyDescent="0.35">
      <c r="A43" s="11" t="s">
        <v>277</v>
      </c>
      <c r="B43" s="14"/>
    </row>
    <row r="44" spans="1:2" ht="16.2" thickBot="1" x14ac:dyDescent="0.35">
      <c r="A44" s="11" t="s">
        <v>270</v>
      </c>
      <c r="B44" s="14"/>
    </row>
    <row r="45" spans="1:2" ht="16.2" thickBot="1" x14ac:dyDescent="0.35">
      <c r="A45" s="11" t="s">
        <v>271</v>
      </c>
      <c r="B45" s="14"/>
    </row>
    <row r="46" spans="1:2" ht="16.2" thickBot="1" x14ac:dyDescent="0.35">
      <c r="A46" s="11" t="s">
        <v>264</v>
      </c>
      <c r="B46" s="14"/>
    </row>
    <row r="47" spans="1:2" ht="31.8" thickBot="1" x14ac:dyDescent="0.35">
      <c r="A47" s="11" t="s">
        <v>278</v>
      </c>
      <c r="B47" s="14"/>
    </row>
    <row r="48" spans="1:2" ht="16.2" thickBot="1" x14ac:dyDescent="0.35">
      <c r="A48" s="11" t="s">
        <v>279</v>
      </c>
      <c r="B48" s="14"/>
    </row>
    <row r="49" spans="1:2" ht="16.2" thickBot="1" x14ac:dyDescent="0.35">
      <c r="A49" s="11" t="s">
        <v>270</v>
      </c>
      <c r="B49" s="14"/>
    </row>
    <row r="50" spans="1:2" ht="16.2" thickBot="1" x14ac:dyDescent="0.35">
      <c r="A50" s="11" t="s">
        <v>271</v>
      </c>
      <c r="B50" s="14"/>
    </row>
    <row r="51" spans="1:2" ht="16.2" thickBot="1" x14ac:dyDescent="0.35">
      <c r="A51" s="11" t="s">
        <v>264</v>
      </c>
      <c r="B51" s="14"/>
    </row>
    <row r="52" spans="1:2" ht="16.2" thickBot="1" x14ac:dyDescent="0.35">
      <c r="A52" s="11" t="s">
        <v>280</v>
      </c>
      <c r="B52" s="14"/>
    </row>
    <row r="53" spans="1:2" ht="16.2" thickBot="1" x14ac:dyDescent="0.35">
      <c r="A53" s="11" t="s">
        <v>270</v>
      </c>
      <c r="B53" s="14"/>
    </row>
    <row r="54" spans="1:2" ht="16.2" thickBot="1" x14ac:dyDescent="0.35">
      <c r="A54" s="11" t="s">
        <v>271</v>
      </c>
      <c r="B54" s="14"/>
    </row>
    <row r="55" spans="1:2" ht="16.2" thickBot="1" x14ac:dyDescent="0.35">
      <c r="A55" s="11" t="s">
        <v>264</v>
      </c>
      <c r="B55" s="14"/>
    </row>
    <row r="56" spans="1:2" ht="16.2" thickBot="1" x14ac:dyDescent="0.35">
      <c r="A56" s="11" t="s">
        <v>281</v>
      </c>
      <c r="B56" s="14"/>
    </row>
    <row r="57" spans="1:2" ht="16.2" thickBot="1" x14ac:dyDescent="0.35">
      <c r="A57" s="11" t="s">
        <v>270</v>
      </c>
      <c r="B57" s="14"/>
    </row>
    <row r="58" spans="1:2" ht="16.2" thickBot="1" x14ac:dyDescent="0.35">
      <c r="A58" s="11" t="s">
        <v>271</v>
      </c>
      <c r="B58" s="14"/>
    </row>
    <row r="59" spans="1:2" ht="16.2" thickBot="1" x14ac:dyDescent="0.35">
      <c r="A59" s="11" t="s">
        <v>264</v>
      </c>
      <c r="B59" s="14"/>
    </row>
    <row r="60" spans="1:2" ht="16.2" thickBot="1" x14ac:dyDescent="0.35">
      <c r="A60" s="11" t="s">
        <v>282</v>
      </c>
      <c r="B60" s="14"/>
    </row>
    <row r="61" spans="1:2" ht="16.2" thickBot="1" x14ac:dyDescent="0.35">
      <c r="A61" s="11" t="s">
        <v>283</v>
      </c>
      <c r="B61" s="14"/>
    </row>
    <row r="62" spans="1:2" ht="16.2" thickBot="1" x14ac:dyDescent="0.35">
      <c r="A62" s="11" t="s">
        <v>270</v>
      </c>
      <c r="B62" s="14"/>
    </row>
    <row r="63" spans="1:2" ht="16.2" thickBot="1" x14ac:dyDescent="0.35">
      <c r="A63" s="11" t="s">
        <v>271</v>
      </c>
      <c r="B63" s="14"/>
    </row>
    <row r="64" spans="1:2" ht="16.2" thickBot="1" x14ac:dyDescent="0.35">
      <c r="A64" s="11" t="s">
        <v>264</v>
      </c>
      <c r="B64" s="14"/>
    </row>
    <row r="65" spans="1:2" ht="16.2" thickBot="1" x14ac:dyDescent="0.35">
      <c r="A65" s="11" t="s">
        <v>284</v>
      </c>
      <c r="B65" s="14"/>
    </row>
    <row r="66" spans="1:2" ht="16.2" thickBot="1" x14ac:dyDescent="0.35">
      <c r="A66" s="11" t="s">
        <v>270</v>
      </c>
      <c r="B66" s="14"/>
    </row>
    <row r="67" spans="1:2" ht="16.2" thickBot="1" x14ac:dyDescent="0.35">
      <c r="A67" s="11" t="s">
        <v>271</v>
      </c>
      <c r="B67" s="14"/>
    </row>
    <row r="68" spans="1:2" ht="16.2" thickBot="1" x14ac:dyDescent="0.35">
      <c r="A68" s="11" t="s">
        <v>264</v>
      </c>
      <c r="B68" s="14"/>
    </row>
    <row r="69" spans="1:2" ht="16.2" thickBot="1" x14ac:dyDescent="0.35">
      <c r="A69" s="11" t="s">
        <v>285</v>
      </c>
      <c r="B69" s="14"/>
    </row>
    <row r="70" spans="1:2" ht="16.2" thickBot="1" x14ac:dyDescent="0.35">
      <c r="A70" s="11" t="s">
        <v>270</v>
      </c>
      <c r="B70" s="14"/>
    </row>
    <row r="71" spans="1:2" ht="16.2" thickBot="1" x14ac:dyDescent="0.35">
      <c r="A71" s="11" t="s">
        <v>271</v>
      </c>
      <c r="B71" s="14"/>
    </row>
    <row r="72" spans="1:2" ht="16.2" thickBot="1" x14ac:dyDescent="0.35">
      <c r="A72" s="11" t="s">
        <v>264</v>
      </c>
      <c r="B72" s="14"/>
    </row>
    <row r="73" spans="1:2" ht="16.2" thickBot="1" x14ac:dyDescent="0.35">
      <c r="A73" s="11" t="s">
        <v>286</v>
      </c>
      <c r="B73" s="14"/>
    </row>
    <row r="74" spans="1:2" ht="16.2" thickBot="1" x14ac:dyDescent="0.35">
      <c r="A74" s="11" t="s">
        <v>270</v>
      </c>
      <c r="B74" s="14"/>
    </row>
    <row r="75" spans="1:2" ht="16.2" thickBot="1" x14ac:dyDescent="0.35">
      <c r="A75" s="11" t="s">
        <v>271</v>
      </c>
      <c r="B75" s="14"/>
    </row>
    <row r="76" spans="1:2" ht="16.2" thickBot="1" x14ac:dyDescent="0.35">
      <c r="A76" s="11" t="s">
        <v>264</v>
      </c>
      <c r="B76" s="14"/>
    </row>
    <row r="77" spans="1:2" ht="16.2" thickBot="1" x14ac:dyDescent="0.35">
      <c r="A77" s="11" t="s">
        <v>287</v>
      </c>
      <c r="B77" s="14"/>
    </row>
    <row r="78" spans="1:2" ht="16.2" thickBot="1" x14ac:dyDescent="0.35">
      <c r="A78" s="11" t="s">
        <v>270</v>
      </c>
      <c r="B78" s="14"/>
    </row>
    <row r="79" spans="1:2" ht="16.2" thickBot="1" x14ac:dyDescent="0.35">
      <c r="A79" s="11" t="s">
        <v>271</v>
      </c>
      <c r="B79" s="14"/>
    </row>
    <row r="80" spans="1:2" ht="16.2" thickBot="1" x14ac:dyDescent="0.35">
      <c r="A80" s="11" t="s">
        <v>264</v>
      </c>
      <c r="B80" s="14"/>
    </row>
    <row r="81" spans="1:2" ht="16.2" thickBot="1" x14ac:dyDescent="0.35">
      <c r="A81" s="11"/>
      <c r="B81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E16"/>
  <sheetViews>
    <sheetView tabSelected="1" workbookViewId="0">
      <selection activeCell="D7" sqref="D7"/>
    </sheetView>
  </sheetViews>
  <sheetFormatPr defaultRowHeight="14.4" x14ac:dyDescent="0.3"/>
  <cols>
    <col min="4" max="4" width="22.44140625" customWidth="1"/>
    <col min="5" max="5" width="25.21875" customWidth="1"/>
  </cols>
  <sheetData>
    <row r="3" spans="2:5" ht="18" x14ac:dyDescent="0.35">
      <c r="C3" s="16" t="s">
        <v>298</v>
      </c>
    </row>
    <row r="4" spans="2:5" ht="15" thickBot="1" x14ac:dyDescent="0.35"/>
    <row r="5" spans="2:5" ht="36" customHeight="1" thickBot="1" x14ac:dyDescent="0.35">
      <c r="B5" s="128"/>
      <c r="C5" s="129"/>
      <c r="D5" s="132" t="s">
        <v>288</v>
      </c>
      <c r="E5" s="133"/>
    </row>
    <row r="6" spans="2:5" ht="18.600000000000001" thickBot="1" x14ac:dyDescent="0.35">
      <c r="B6" s="130"/>
      <c r="C6" s="131"/>
      <c r="D6" s="39" t="s">
        <v>289</v>
      </c>
      <c r="E6" s="39" t="s">
        <v>290</v>
      </c>
    </row>
    <row r="7" spans="2:5" ht="52.8" thickBot="1" x14ac:dyDescent="0.35">
      <c r="B7" s="126" t="s">
        <v>291</v>
      </c>
      <c r="C7" s="40" t="s">
        <v>292</v>
      </c>
      <c r="D7" s="39" t="s">
        <v>293</v>
      </c>
      <c r="E7" s="39" t="s">
        <v>294</v>
      </c>
    </row>
    <row r="8" spans="2:5" ht="72.599999999999994" thickBot="1" x14ac:dyDescent="0.35">
      <c r="B8" s="127"/>
      <c r="C8" s="40" t="s">
        <v>295</v>
      </c>
      <c r="D8" s="39" t="s">
        <v>296</v>
      </c>
      <c r="E8" s="39" t="s">
        <v>297</v>
      </c>
    </row>
    <row r="11" spans="2:5" ht="17.399999999999999" x14ac:dyDescent="0.3">
      <c r="C11" s="43" t="s">
        <v>307</v>
      </c>
    </row>
    <row r="12" spans="2:5" ht="15" thickBot="1" x14ac:dyDescent="0.35"/>
    <row r="13" spans="2:5" ht="18.600000000000001" thickBot="1" x14ac:dyDescent="0.35">
      <c r="B13" s="128"/>
      <c r="C13" s="129"/>
      <c r="D13" s="134" t="s">
        <v>299</v>
      </c>
      <c r="E13" s="135"/>
    </row>
    <row r="14" spans="2:5" ht="18.600000000000001" thickBot="1" x14ac:dyDescent="0.35">
      <c r="B14" s="130"/>
      <c r="C14" s="131"/>
      <c r="D14" s="41" t="s">
        <v>300</v>
      </c>
      <c r="E14" s="41" t="s">
        <v>301</v>
      </c>
    </row>
    <row r="15" spans="2:5" ht="54.6" thickBot="1" x14ac:dyDescent="0.35">
      <c r="B15" s="126" t="s">
        <v>302</v>
      </c>
      <c r="C15" s="42" t="s">
        <v>300</v>
      </c>
      <c r="D15" s="41" t="s">
        <v>303</v>
      </c>
      <c r="E15" s="41" t="s">
        <v>304</v>
      </c>
    </row>
    <row r="16" spans="2:5" ht="54.6" thickBot="1" x14ac:dyDescent="0.35">
      <c r="B16" s="127"/>
      <c r="C16" s="42" t="s">
        <v>301</v>
      </c>
      <c r="D16" s="41" t="s">
        <v>305</v>
      </c>
      <c r="E16" s="41" t="s">
        <v>306</v>
      </c>
    </row>
  </sheetData>
  <mergeCells count="6">
    <mergeCell ref="B15:B16"/>
    <mergeCell ref="B5:C6"/>
    <mergeCell ref="D5:E5"/>
    <mergeCell ref="B7:B8"/>
    <mergeCell ref="B13:C14"/>
    <mergeCell ref="D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№1</vt:lpstr>
      <vt:lpstr>№2</vt:lpstr>
      <vt:lpstr>№3</vt:lpstr>
      <vt:lpstr>№4</vt:lpstr>
      <vt:lpstr>№5.1.</vt:lpstr>
      <vt:lpstr>№5.2</vt:lpstr>
      <vt:lpstr>№5.3</vt:lpstr>
      <vt:lpstr>№5.4.</vt:lpstr>
      <vt:lpstr>№6</vt:lpstr>
      <vt:lpstr>№7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Цигун</dc:creator>
  <cp:lastModifiedBy>Nguyễn Cao Bách</cp:lastModifiedBy>
  <dcterms:created xsi:type="dcterms:W3CDTF">2025-03-23T21:29:36Z</dcterms:created>
  <dcterms:modified xsi:type="dcterms:W3CDTF">2025-12-02T08:02:59Z</dcterms:modified>
</cp:coreProperties>
</file>