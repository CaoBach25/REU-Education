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юджет" sheetId="1" r:id="rId4"/>
    <sheet state="hidden" name="CRM" sheetId="2" r:id="rId5"/>
    <sheet state="hidden" name="СППР" sheetId="3" r:id="rId6"/>
    <sheet state="hidden" name="QMS" sheetId="4" r:id="rId7"/>
    <sheet state="hidden" name="Мобильное приложение" sheetId="5" r:id="rId8"/>
    <sheet state="hidden" name="PLM" sheetId="6" r:id="rId9"/>
    <sheet state="hidden" name="План информатизации ИТ" sheetId="7" r:id="rId10"/>
  </sheets>
  <definedNames/>
  <calcPr/>
  <extLst>
    <ext uri="GoogleSheetsCustomDataVersion2">
      <go:sheetsCustomData xmlns:go="http://customooxmlschemas.google.com/" r:id="rId11" roundtripDataChecksum="XUFOVO/31woJmoNx9JnoFa5SFC8l4E3KRGFA08x8B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ID#AAABb0UGsLw
tc={6A79BFB2-253A-414C-B274-A637EFBFA42D}    (2025-01-16 10:02:54)
[Threaded comment]
Your version of Excel allows you to read this threaded comment; however, any edits to it will get removed if the file is opened in a newer version of Excel. Learn more: https://go.microsoft.com/fwlink/?linkid=870924
Comment:
    CAPEX</t>
      </text>
    </comment>
  </commentList>
  <extLst>
    <ext uri="GoogleSheetsCustomDataVersion2">
      <go:sheetsCustomData xmlns:go="http://customooxmlschemas.google.com/" r:id="rId1" roundtripDataSignature="AMtx7mgs0DTQih220c0EfzLcFCCp06+beA=="/>
    </ext>
  </extLst>
</comments>
</file>

<file path=xl/sharedStrings.xml><?xml version="1.0" encoding="utf-8"?>
<sst xmlns="http://schemas.openxmlformats.org/spreadsheetml/2006/main" count="147" uniqueCount="21">
  <si>
    <t>Номер п/п</t>
  </si>
  <si>
    <t>Название статьи затрат</t>
  </si>
  <si>
    <t>1 квартал</t>
  </si>
  <si>
    <t>2 квартал</t>
  </si>
  <si>
    <t>3 квартал</t>
  </si>
  <si>
    <t>4 квартал</t>
  </si>
  <si>
    <t>Год</t>
  </si>
  <si>
    <t>CAPEX</t>
  </si>
  <si>
    <t>Оборудование</t>
  </si>
  <si>
    <t>Программное обеспечение</t>
  </si>
  <si>
    <t>ТМЦ</t>
  </si>
  <si>
    <t>Услуги сторонних организаций</t>
  </si>
  <si>
    <t>Прочее</t>
  </si>
  <si>
    <t>Итого:</t>
  </si>
  <si>
    <t>OPEX</t>
  </si>
  <si>
    <t>Наименование проекта/информационной системы</t>
  </si>
  <si>
    <t>Система управления взаимоотношениями с клиентами (CRM)</t>
  </si>
  <si>
    <t>Система поддержки принятия управленческих решений (СППР)</t>
  </si>
  <si>
    <t>Система управления качеством (QMS)</t>
  </si>
  <si>
    <t>Мобильное приложение</t>
  </si>
  <si>
    <t>Система управления жизненным циклом изделия (PLM)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</si>
</sst>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₽&quot;"/>
    <numFmt numFmtId="165" formatCode="#,##0.00\ &quot;₽&quot;;[Red]\-#,##0.00\ &quot;₽&quot;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8EAADB"/>
        <bgColor rgb="FF8EAAD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1BBCC"/>
      </right>
      <bottom style="thin">
        <color rgb="FFB1BB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1" fillId="0" fontId="1" numFmtId="164" xfId="0" applyBorder="1" applyFont="1" applyNumberFormat="1"/>
    <xf borderId="2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shrinkToFit="0" wrapText="1"/>
    </xf>
    <xf borderId="1" fillId="0" fontId="3" numFmtId="165" xfId="0" applyAlignment="1" applyBorder="1" applyFont="1" applyNumberFormat="1">
      <alignment vertical="center"/>
    </xf>
    <xf borderId="4" fillId="0" fontId="1" numFmtId="165" xfId="0" applyBorder="1" applyFont="1" applyNumberFormat="1"/>
    <xf borderId="5" fillId="0" fontId="3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7" width="18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6">
        <f>CRM!C3+'СППР'!C3+QMS!C3+PLM!C3+'Мобильное приложение'!C3</f>
        <v>2540000</v>
      </c>
      <c r="D3" s="6">
        <f>CRM!D3+'СППР'!D3+QMS!D3+PLM!D3+'Мобильное приложение'!D3</f>
        <v>750000</v>
      </c>
      <c r="E3" s="6">
        <f>CRM!E3+'СППР'!E3+QMS!E3+PLM!E3+'Мобильное приложение'!E3</f>
        <v>680000</v>
      </c>
      <c r="F3" s="6">
        <f>CRM!F3+'СППР'!F3+QMS!F3+PLM!F3+'Мобильное приложение'!F3</f>
        <v>75000</v>
      </c>
      <c r="G3" s="6">
        <f t="shared" ref="G3:G8" si="1">SUM(C3:F3)</f>
        <v>4045000</v>
      </c>
    </row>
    <row r="4">
      <c r="A4" s="5">
        <v>2.0</v>
      </c>
      <c r="B4" s="5" t="s">
        <v>9</v>
      </c>
      <c r="C4" s="6">
        <f>CRM!C4+'СППР'!C4+QMS!C4+PLM!C4+'Мобильное приложение'!C4</f>
        <v>2250000</v>
      </c>
      <c r="D4" s="6">
        <f>CRM!D4+'СППР'!D4+QMS!D4+PLM!D4+'Мобильное приложение'!D4</f>
        <v>1085000</v>
      </c>
      <c r="E4" s="6">
        <f>CRM!E4+'СППР'!E4+QMS!E4+PLM!E4+'Мобильное приложение'!E4</f>
        <v>1330000</v>
      </c>
      <c r="F4" s="6">
        <f>CRM!F4+'СППР'!F4+QMS!F4+PLM!F4+'Мобильное приложение'!F4</f>
        <v>90000</v>
      </c>
      <c r="G4" s="6">
        <f t="shared" si="1"/>
        <v>4755000</v>
      </c>
    </row>
    <row r="5">
      <c r="A5" s="5">
        <v>3.0</v>
      </c>
      <c r="B5" s="5" t="s">
        <v>10</v>
      </c>
      <c r="C5" s="6">
        <f>CRM!C5+'СППР'!C5+QMS!C5+PLM!C5+'Мобильное приложение'!C5</f>
        <v>554000</v>
      </c>
      <c r="D5" s="6">
        <f>CRM!D5+'СППР'!D5+QMS!D5+PLM!D5+'Мобильное приложение'!D5</f>
        <v>215000</v>
      </c>
      <c r="E5" s="6">
        <f>CRM!E5+'СППР'!E5+QMS!E5+PLM!E5+'Мобильное приложение'!E5</f>
        <v>35000</v>
      </c>
      <c r="F5" s="6">
        <f>CRM!F5+'СППР'!F5+QMS!F5+PLM!F5+'Мобильное приложение'!F5</f>
        <v>30000</v>
      </c>
      <c r="G5" s="6">
        <f t="shared" si="1"/>
        <v>834000</v>
      </c>
    </row>
    <row r="6">
      <c r="A6" s="5">
        <v>4.0</v>
      </c>
      <c r="B6" s="5" t="s">
        <v>11</v>
      </c>
      <c r="C6" s="6">
        <f>CRM!C6+'СППР'!C6+QMS!C6+PLM!C6+'Мобильное приложение'!C6</f>
        <v>210000</v>
      </c>
      <c r="D6" s="6">
        <f>CRM!D6+'СППР'!D6+QMS!D6+PLM!D6+'Мобильное приложение'!D6</f>
        <v>300000</v>
      </c>
      <c r="E6" s="6">
        <f>CRM!E6+'СППР'!E6+QMS!E6+PLM!E6+'Мобильное приложение'!E6</f>
        <v>0</v>
      </c>
      <c r="F6" s="6">
        <f>CRM!F6+'СППР'!F6+QMS!F6+PLM!F6+'Мобильное приложение'!F6</f>
        <v>50000</v>
      </c>
      <c r="G6" s="6">
        <f t="shared" si="1"/>
        <v>560000</v>
      </c>
    </row>
    <row r="7">
      <c r="A7" s="5">
        <v>5.0</v>
      </c>
      <c r="B7" s="5" t="s">
        <v>12</v>
      </c>
      <c r="C7" s="6">
        <f>CRM!C7+'СППР'!C7+QMS!C7+PLM!C7+'Мобильное приложение'!C7</f>
        <v>125000</v>
      </c>
      <c r="D7" s="6">
        <f>CRM!D7+'СППР'!D7+QMS!D7+PLM!D7+'Мобильное приложение'!D7</f>
        <v>70000</v>
      </c>
      <c r="E7" s="6">
        <f>CRM!E7+'СППР'!E7+QMS!E7+PLM!E7+'Мобильное приложение'!E7</f>
        <v>0</v>
      </c>
      <c r="F7" s="6">
        <f>CRM!F7+'СППР'!F7+QMS!F7+PLM!F7+'Мобильное приложение'!F7</f>
        <v>0</v>
      </c>
      <c r="G7" s="6">
        <f t="shared" si="1"/>
        <v>195000</v>
      </c>
    </row>
    <row r="8">
      <c r="A8" s="7" t="s">
        <v>13</v>
      </c>
      <c r="B8" s="4"/>
      <c r="C8" s="6">
        <f t="shared" ref="C8:F8" si="2">SUM(C3:C7)</f>
        <v>5679000</v>
      </c>
      <c r="D8" s="6">
        <f t="shared" si="2"/>
        <v>2420000</v>
      </c>
      <c r="E8" s="6">
        <f t="shared" si="2"/>
        <v>2045000</v>
      </c>
      <c r="F8" s="6">
        <f t="shared" si="2"/>
        <v>245000</v>
      </c>
      <c r="G8" s="6">
        <f t="shared" si="1"/>
        <v>10389000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6">
        <f>CRM!C10+'СППР'!C10+QMS!C10+PLM!C10+'Мобильное приложение'!C10</f>
        <v>200000</v>
      </c>
      <c r="D10" s="6">
        <f>CRM!D10+'СППР'!D10+QMS!D10+PLM!D10+'Мобильное приложение'!D10</f>
        <v>130000</v>
      </c>
      <c r="E10" s="6">
        <f>CRM!E10+'СППР'!E10+QMS!E10+PLM!E10+'Мобильное приложение'!E10</f>
        <v>340000</v>
      </c>
      <c r="F10" s="6">
        <f>CRM!F10+'СППР'!F10+QMS!F10+PLM!F10+'Мобильное приложение'!F10</f>
        <v>198000</v>
      </c>
      <c r="G10" s="6">
        <f t="shared" ref="G10:G15" si="3">SUM(C10:F10)</f>
        <v>868000</v>
      </c>
    </row>
    <row r="11">
      <c r="A11" s="5">
        <v>2.0</v>
      </c>
      <c r="B11" s="5" t="s">
        <v>9</v>
      </c>
      <c r="C11" s="6">
        <f>CRM!C11+'СППР'!C11+QMS!C11+PLM!C11+'Мобильное приложение'!C11</f>
        <v>206000</v>
      </c>
      <c r="D11" s="6">
        <f>CRM!D11+'СППР'!D11+QMS!D11+PLM!D11+'Мобильное приложение'!D11</f>
        <v>245000</v>
      </c>
      <c r="E11" s="6">
        <f>CRM!E11+'СППР'!E11+QMS!E11+PLM!E11+'Мобильное приложение'!E11</f>
        <v>179000</v>
      </c>
      <c r="F11" s="6">
        <f>CRM!F11+'СППР'!F11+QMS!F11+PLM!F11+'Мобильное приложение'!F11</f>
        <v>80000</v>
      </c>
      <c r="G11" s="6">
        <f t="shared" si="3"/>
        <v>710000</v>
      </c>
    </row>
    <row r="12">
      <c r="A12" s="5">
        <v>3.0</v>
      </c>
      <c r="B12" s="5" t="s">
        <v>10</v>
      </c>
      <c r="C12" s="6">
        <f>CRM!C12+'СППР'!C12+QMS!C12+PLM!C12+'Мобильное приложение'!C12</f>
        <v>66000</v>
      </c>
      <c r="D12" s="6">
        <f>CRM!D12+'СППР'!D12+QMS!D12+PLM!D12+'Мобильное приложение'!D12</f>
        <v>55000</v>
      </c>
      <c r="E12" s="6">
        <f>CRM!E12+'СППР'!E12+QMS!E12+PLM!E12+'Мобильное приложение'!E12</f>
        <v>55000</v>
      </c>
      <c r="F12" s="6">
        <f>CRM!F12+'СППР'!F12+QMS!F12+PLM!F12+'Мобильное приложение'!F12</f>
        <v>132000</v>
      </c>
      <c r="G12" s="6">
        <f t="shared" si="3"/>
        <v>308000</v>
      </c>
    </row>
    <row r="13">
      <c r="A13" s="5">
        <v>4.0</v>
      </c>
      <c r="B13" s="5" t="s">
        <v>11</v>
      </c>
      <c r="C13" s="6">
        <f>CRM!C13+'СППР'!C13+QMS!C13+PLM!C13+'Мобильное приложение'!C13</f>
        <v>136000</v>
      </c>
      <c r="D13" s="6">
        <f>CRM!D13+'СППР'!D13+QMS!D13+PLM!D13+'Мобильное приложение'!D13</f>
        <v>182000</v>
      </c>
      <c r="E13" s="6">
        <f>CRM!E13+'СППР'!E13+QMS!E13+PLM!E13+'Мобильное приложение'!E13</f>
        <v>523200</v>
      </c>
      <c r="F13" s="6">
        <f>CRM!F13+'СППР'!F13+QMS!F13+PLM!F13+'Мобильное приложение'!F13</f>
        <v>157600</v>
      </c>
      <c r="G13" s="6">
        <f t="shared" si="3"/>
        <v>998800</v>
      </c>
    </row>
    <row r="14">
      <c r="A14" s="5">
        <v>5.0</v>
      </c>
      <c r="B14" s="5" t="s">
        <v>12</v>
      </c>
      <c r="C14" s="6">
        <f>CRM!C14+'СППР'!C14+QMS!C14+PLM!C14+'Мобильное приложение'!C14</f>
        <v>4676000</v>
      </c>
      <c r="D14" s="6">
        <f>CRM!D14+'СППР'!D14+QMS!D14+PLM!D14+'Мобильное приложение'!D14</f>
        <v>2667750</v>
      </c>
      <c r="E14" s="6">
        <f>CRM!E14+'СППР'!E14+QMS!E14+PLM!E14+'Мобильное приложение'!E14</f>
        <v>2514360</v>
      </c>
      <c r="F14" s="6">
        <f>CRM!F14+'СППР'!F14+QMS!F14+PLM!F14+'Мобильное приложение'!F14</f>
        <v>3570860</v>
      </c>
      <c r="G14" s="6">
        <f t="shared" si="3"/>
        <v>13428970</v>
      </c>
    </row>
    <row r="15">
      <c r="A15" s="7" t="s">
        <v>13</v>
      </c>
      <c r="B15" s="4"/>
      <c r="C15" s="6">
        <f t="shared" ref="C15:F15" si="4">SUM(C10:C14)</f>
        <v>5284000</v>
      </c>
      <c r="D15" s="6">
        <f t="shared" si="4"/>
        <v>3279750</v>
      </c>
      <c r="E15" s="6">
        <f t="shared" si="4"/>
        <v>3611560</v>
      </c>
      <c r="F15" s="6">
        <f t="shared" si="4"/>
        <v>4138460</v>
      </c>
      <c r="G15" s="6">
        <f t="shared" si="3"/>
        <v>16313770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1.29"/>
    <col customWidth="1" min="3" max="3" width="23.71"/>
    <col customWidth="1" min="4" max="4" width="21.43"/>
    <col customWidth="1" min="5" max="5" width="19.71"/>
    <col customWidth="1" min="6" max="6" width="21.29"/>
    <col customWidth="1" min="7" max="7" width="30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6">
        <v>700000.0</v>
      </c>
      <c r="D3" s="6">
        <v>0.0</v>
      </c>
      <c r="E3" s="6">
        <v>0.0</v>
      </c>
      <c r="F3" s="6">
        <v>0.0</v>
      </c>
      <c r="G3" s="6">
        <v>700000.0</v>
      </c>
    </row>
    <row r="4">
      <c r="A4" s="5">
        <v>2.0</v>
      </c>
      <c r="B4" s="5" t="s">
        <v>9</v>
      </c>
      <c r="C4" s="6">
        <v>1650000.0</v>
      </c>
      <c r="D4" s="6">
        <v>0.0</v>
      </c>
      <c r="E4" s="6">
        <v>0.0</v>
      </c>
      <c r="F4" s="6">
        <v>0.0</v>
      </c>
      <c r="G4" s="6">
        <v>1650000.0</v>
      </c>
    </row>
    <row r="5">
      <c r="A5" s="5">
        <v>3.0</v>
      </c>
      <c r="B5" s="5" t="s">
        <v>10</v>
      </c>
      <c r="C5" s="6">
        <v>250000.0</v>
      </c>
      <c r="D5" s="6">
        <v>0.0</v>
      </c>
      <c r="E5" s="6">
        <v>0.0</v>
      </c>
      <c r="F5" s="6">
        <v>0.0</v>
      </c>
      <c r="G5" s="6">
        <v>250000.0</v>
      </c>
    </row>
    <row r="6">
      <c r="A6" s="5">
        <v>4.0</v>
      </c>
      <c r="B6" s="5" t="s">
        <v>11</v>
      </c>
      <c r="C6" s="6">
        <v>0.0</v>
      </c>
      <c r="D6" s="6">
        <v>0.0</v>
      </c>
      <c r="E6" s="6">
        <v>0.0</v>
      </c>
      <c r="F6" s="6">
        <v>50000.0</v>
      </c>
      <c r="G6" s="6">
        <v>50000.0</v>
      </c>
    </row>
    <row r="7">
      <c r="A7" s="5">
        <v>5.0</v>
      </c>
      <c r="B7" s="5" t="s">
        <v>12</v>
      </c>
      <c r="C7" s="6">
        <v>25000.0</v>
      </c>
      <c r="D7" s="6">
        <v>20000.0</v>
      </c>
      <c r="E7" s="6">
        <v>0.0</v>
      </c>
      <c r="F7" s="6">
        <v>0.0</v>
      </c>
      <c r="G7" s="6">
        <v>45000.0</v>
      </c>
    </row>
    <row r="8">
      <c r="A8" s="7" t="s">
        <v>13</v>
      </c>
      <c r="B8" s="4"/>
      <c r="C8" s="6">
        <v>2625000.0</v>
      </c>
      <c r="D8" s="6">
        <v>20000.0</v>
      </c>
      <c r="E8" s="6">
        <v>0.0</v>
      </c>
      <c r="F8" s="6">
        <v>50000.0</v>
      </c>
      <c r="G8" s="6">
        <v>2695000.0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6">
        <v>150000.0</v>
      </c>
      <c r="D10" s="6">
        <v>80000.0</v>
      </c>
      <c r="E10" s="6">
        <v>60000.0</v>
      </c>
      <c r="F10" s="6">
        <v>0.0</v>
      </c>
      <c r="G10" s="6">
        <v>290000.0</v>
      </c>
    </row>
    <row r="11">
      <c r="A11" s="5">
        <v>2.0</v>
      </c>
      <c r="B11" s="5" t="s">
        <v>9</v>
      </c>
      <c r="C11" s="6">
        <v>126000.0</v>
      </c>
      <c r="D11" s="6">
        <v>165000.0</v>
      </c>
      <c r="E11" s="6">
        <v>0.0</v>
      </c>
      <c r="F11" s="6">
        <v>0.0</v>
      </c>
      <c r="G11" s="6">
        <v>291000.0</v>
      </c>
    </row>
    <row r="12">
      <c r="A12" s="5">
        <v>3.0</v>
      </c>
      <c r="B12" s="5" t="s">
        <v>10</v>
      </c>
      <c r="C12" s="6">
        <v>36000.0</v>
      </c>
      <c r="D12" s="6">
        <v>25000.0</v>
      </c>
      <c r="E12" s="6">
        <v>0.0</v>
      </c>
      <c r="F12" s="6">
        <v>45000.0</v>
      </c>
      <c r="G12" s="6">
        <v>106000.0</v>
      </c>
    </row>
    <row r="13">
      <c r="A13" s="5">
        <v>4.0</v>
      </c>
      <c r="B13" s="5" t="s">
        <v>11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</row>
    <row r="14">
      <c r="A14" s="5">
        <v>5.0</v>
      </c>
      <c r="B14" s="5" t="s">
        <v>12</v>
      </c>
      <c r="C14" s="6">
        <v>950000.0</v>
      </c>
      <c r="D14" s="6">
        <v>1586750.0</v>
      </c>
      <c r="E14" s="6">
        <v>1804700.0</v>
      </c>
      <c r="F14" s="6">
        <v>3120000.0</v>
      </c>
      <c r="G14" s="6">
        <v>7461450.0</v>
      </c>
    </row>
    <row r="15">
      <c r="A15" s="7" t="s">
        <v>13</v>
      </c>
      <c r="B15" s="4"/>
      <c r="C15" s="6">
        <v>1262000.0</v>
      </c>
      <c r="D15" s="6">
        <v>1856750.0</v>
      </c>
      <c r="E15" s="6">
        <v>1864700.0</v>
      </c>
      <c r="F15" s="6">
        <v>3165000.0</v>
      </c>
      <c r="G15" s="6">
        <v>8148450.0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8.29"/>
    <col customWidth="1" min="3" max="4" width="14.29"/>
    <col customWidth="1" min="5" max="5" width="12.71"/>
    <col customWidth="1" min="6" max="6" width="11.71"/>
    <col customWidth="1" min="7" max="7" width="14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6">
        <v>200000.0</v>
      </c>
      <c r="D3" s="6">
        <v>0.0</v>
      </c>
      <c r="E3" s="6">
        <v>0.0</v>
      </c>
      <c r="F3" s="6">
        <v>0.0</v>
      </c>
      <c r="G3" s="6">
        <v>200000.0</v>
      </c>
    </row>
    <row r="4">
      <c r="A4" s="5">
        <v>2.0</v>
      </c>
      <c r="B4" s="5" t="s">
        <v>9</v>
      </c>
      <c r="C4" s="6">
        <v>100000.0</v>
      </c>
      <c r="D4" s="6">
        <v>0.0</v>
      </c>
      <c r="E4" s="6">
        <v>0.0</v>
      </c>
      <c r="F4" s="6">
        <v>0.0</v>
      </c>
      <c r="G4" s="6">
        <v>100000.0</v>
      </c>
    </row>
    <row r="5">
      <c r="A5" s="5">
        <v>3.0</v>
      </c>
      <c r="B5" s="5" t="s">
        <v>10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</row>
    <row r="6">
      <c r="A6" s="5">
        <v>4.0</v>
      </c>
      <c r="B6" s="5" t="s">
        <v>11</v>
      </c>
      <c r="C6" s="6">
        <v>10000.0</v>
      </c>
      <c r="D6" s="6">
        <v>0.0</v>
      </c>
      <c r="E6" s="6">
        <v>0.0</v>
      </c>
      <c r="F6" s="6">
        <v>0.0</v>
      </c>
      <c r="G6" s="6">
        <v>100000.0</v>
      </c>
    </row>
    <row r="7">
      <c r="A7" s="5">
        <v>5.0</v>
      </c>
      <c r="B7" s="5" t="s">
        <v>12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</row>
    <row r="8">
      <c r="A8" s="7" t="s">
        <v>13</v>
      </c>
      <c r="B8" s="4"/>
      <c r="C8" s="6">
        <v>400000.0</v>
      </c>
      <c r="D8" s="6">
        <v>0.0</v>
      </c>
      <c r="E8" s="6">
        <v>0.0</v>
      </c>
      <c r="F8" s="6">
        <v>0.0</v>
      </c>
      <c r="G8" s="6">
        <v>400000.0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</row>
    <row r="11">
      <c r="A11" s="5">
        <v>2.0</v>
      </c>
      <c r="B11" s="5" t="s">
        <v>9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</row>
    <row r="12">
      <c r="A12" s="5">
        <v>3.0</v>
      </c>
      <c r="B12" s="5" t="s">
        <v>10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</row>
    <row r="13">
      <c r="A13" s="5">
        <v>4.0</v>
      </c>
      <c r="B13" s="5" t="s">
        <v>11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</row>
    <row r="14">
      <c r="A14" s="5">
        <v>5.0</v>
      </c>
      <c r="B14" s="5" t="s">
        <v>12</v>
      </c>
      <c r="C14" s="6">
        <v>3688000.0</v>
      </c>
      <c r="D14" s="6">
        <v>1040000.0</v>
      </c>
      <c r="E14" s="6">
        <v>467360.0</v>
      </c>
      <c r="F14" s="6">
        <v>95360.0</v>
      </c>
      <c r="G14" s="6">
        <f t="shared" ref="G14:G15" si="2">SUM(C14:F14)</f>
        <v>5290720</v>
      </c>
    </row>
    <row r="15">
      <c r="A15" s="7" t="s">
        <v>13</v>
      </c>
      <c r="B15" s="4"/>
      <c r="C15" s="6">
        <f t="shared" ref="C15:F15" si="1">SUM(C10:C14)</f>
        <v>3688000</v>
      </c>
      <c r="D15" s="6">
        <f t="shared" si="1"/>
        <v>1040000</v>
      </c>
      <c r="E15" s="6">
        <f t="shared" si="1"/>
        <v>467360</v>
      </c>
      <c r="F15" s="6">
        <f t="shared" si="1"/>
        <v>95360</v>
      </c>
      <c r="G15" s="6">
        <f t="shared" si="2"/>
        <v>5290720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9.0"/>
    <col customWidth="1" min="3" max="4" width="15.57"/>
    <col customWidth="1" min="5" max="6" width="13.86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8">
        <v>1500000.0</v>
      </c>
      <c r="D3" s="8">
        <v>500000.0</v>
      </c>
      <c r="E3" s="8">
        <v>0.0</v>
      </c>
      <c r="F3" s="8">
        <v>0.0</v>
      </c>
      <c r="G3" s="8">
        <v>2000000.0</v>
      </c>
    </row>
    <row r="4">
      <c r="A4" s="5">
        <v>2.0</v>
      </c>
      <c r="B4" s="5" t="s">
        <v>9</v>
      </c>
      <c r="C4" s="8">
        <v>500000.0</v>
      </c>
      <c r="D4" s="8">
        <v>1000000.0</v>
      </c>
      <c r="E4" s="8">
        <v>0.0</v>
      </c>
      <c r="F4" s="8">
        <v>0.0</v>
      </c>
      <c r="G4" s="8">
        <v>1500000.0</v>
      </c>
    </row>
    <row r="5">
      <c r="A5" s="5">
        <v>3.0</v>
      </c>
      <c r="B5" s="5" t="s">
        <v>10</v>
      </c>
      <c r="C5" s="8">
        <v>300000.0</v>
      </c>
      <c r="D5" s="8">
        <v>200000.0</v>
      </c>
      <c r="E5" s="8">
        <v>0.0</v>
      </c>
      <c r="F5" s="8">
        <v>0.0</v>
      </c>
      <c r="G5" s="8">
        <v>500000.0</v>
      </c>
    </row>
    <row r="6">
      <c r="A6" s="5">
        <v>4.0</v>
      </c>
      <c r="B6" s="5" t="s">
        <v>11</v>
      </c>
      <c r="C6" s="8">
        <v>200000.0</v>
      </c>
      <c r="D6" s="8">
        <v>300000.0</v>
      </c>
      <c r="E6" s="8">
        <v>0.0</v>
      </c>
      <c r="F6" s="8">
        <v>0.0</v>
      </c>
      <c r="G6" s="8">
        <v>500000.0</v>
      </c>
    </row>
    <row r="7">
      <c r="A7" s="5">
        <v>5.0</v>
      </c>
      <c r="B7" s="5" t="s">
        <v>12</v>
      </c>
      <c r="C7" s="8">
        <v>100000.0</v>
      </c>
      <c r="D7" s="8">
        <v>50000.0</v>
      </c>
      <c r="E7" s="8">
        <v>0.0</v>
      </c>
      <c r="F7" s="8">
        <v>0.0</v>
      </c>
      <c r="G7" s="8">
        <v>150000.0</v>
      </c>
    </row>
    <row r="8">
      <c r="A8" s="7" t="s">
        <v>13</v>
      </c>
      <c r="B8" s="4"/>
      <c r="C8" s="8">
        <v>2600000.0</v>
      </c>
      <c r="D8" s="8">
        <v>2050000.0</v>
      </c>
      <c r="E8" s="8">
        <v>0.0</v>
      </c>
      <c r="F8" s="8">
        <v>0.0</v>
      </c>
      <c r="G8" s="8">
        <v>4650000.0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8">
        <v>50000.0</v>
      </c>
      <c r="D10" s="8">
        <v>50000.0</v>
      </c>
      <c r="E10" s="8">
        <v>50000.0</v>
      </c>
      <c r="F10" s="8">
        <v>50000.0</v>
      </c>
      <c r="G10" s="8">
        <v>200000.0</v>
      </c>
    </row>
    <row r="11">
      <c r="A11" s="5">
        <v>2.0</v>
      </c>
      <c r="B11" s="5" t="s">
        <v>9</v>
      </c>
      <c r="C11" s="8">
        <v>80000.0</v>
      </c>
      <c r="D11" s="8">
        <v>80000.0</v>
      </c>
      <c r="E11" s="8">
        <v>80000.0</v>
      </c>
      <c r="F11" s="8">
        <v>80000.0</v>
      </c>
      <c r="G11" s="8">
        <v>320000.0</v>
      </c>
    </row>
    <row r="12">
      <c r="A12" s="5">
        <v>3.0</v>
      </c>
      <c r="B12" s="5" t="s">
        <v>10</v>
      </c>
      <c r="C12" s="8">
        <v>30000.0</v>
      </c>
      <c r="D12" s="8">
        <v>30000.0</v>
      </c>
      <c r="E12" s="8">
        <v>30000.0</v>
      </c>
      <c r="F12" s="8">
        <v>30000.0</v>
      </c>
      <c r="G12" s="8">
        <v>120000.0</v>
      </c>
    </row>
    <row r="13">
      <c r="A13" s="5">
        <v>4.0</v>
      </c>
      <c r="B13" s="5" t="s">
        <v>11</v>
      </c>
      <c r="C13" s="8">
        <v>100000.0</v>
      </c>
      <c r="D13" s="8">
        <v>100000.0</v>
      </c>
      <c r="E13" s="8">
        <v>100000.0</v>
      </c>
      <c r="F13" s="8">
        <v>100000.0</v>
      </c>
      <c r="G13" s="8">
        <v>400000.0</v>
      </c>
    </row>
    <row r="14">
      <c r="A14" s="5">
        <v>5.0</v>
      </c>
      <c r="B14" s="5" t="s">
        <v>12</v>
      </c>
      <c r="C14" s="8">
        <v>20000.0</v>
      </c>
      <c r="D14" s="8">
        <v>20000.0</v>
      </c>
      <c r="E14" s="8">
        <v>20000.0</v>
      </c>
      <c r="F14" s="8">
        <v>20000.0</v>
      </c>
      <c r="G14" s="8">
        <v>80000.0</v>
      </c>
    </row>
    <row r="15">
      <c r="A15" s="7" t="s">
        <v>13</v>
      </c>
      <c r="B15" s="4"/>
      <c r="C15" s="8">
        <v>280000.0</v>
      </c>
      <c r="D15" s="8">
        <v>280000.0</v>
      </c>
      <c r="E15" s="8">
        <v>280000.0</v>
      </c>
      <c r="F15" s="8">
        <v>280000.0</v>
      </c>
      <c r="G15" s="8">
        <v>1120000.0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8.29"/>
    <col customWidth="1" min="3" max="3" width="15.71"/>
    <col customWidth="1" min="4" max="4" width="14.71"/>
    <col customWidth="1" min="5" max="5" width="14.29"/>
    <col customWidth="1" min="6" max="6" width="14.86"/>
    <col customWidth="1" min="7" max="7" width="17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6">
        <v>140000.0</v>
      </c>
      <c r="D3" s="6">
        <v>250000.0</v>
      </c>
      <c r="E3" s="6">
        <v>80000.0</v>
      </c>
      <c r="F3" s="6">
        <v>75000.0</v>
      </c>
      <c r="G3" s="6">
        <v>545000.0</v>
      </c>
    </row>
    <row r="4">
      <c r="A4" s="5">
        <v>2.0</v>
      </c>
      <c r="B4" s="5" t="s">
        <v>9</v>
      </c>
      <c r="C4" s="6">
        <v>0.0</v>
      </c>
      <c r="D4" s="6">
        <v>85000.0</v>
      </c>
      <c r="E4" s="6">
        <v>100000.0</v>
      </c>
      <c r="F4" s="6">
        <v>90000.0</v>
      </c>
      <c r="G4" s="6">
        <v>275000.0</v>
      </c>
    </row>
    <row r="5">
      <c r="A5" s="5">
        <v>3.0</v>
      </c>
      <c r="B5" s="5" t="s">
        <v>10</v>
      </c>
      <c r="C5" s="6">
        <v>4000.0</v>
      </c>
      <c r="D5" s="6">
        <v>15000.0</v>
      </c>
      <c r="E5" s="6">
        <v>35000.0</v>
      </c>
      <c r="F5" s="6">
        <v>30000.0</v>
      </c>
      <c r="G5" s="6">
        <v>84000.0</v>
      </c>
    </row>
    <row r="6">
      <c r="A6" s="5">
        <v>4.0</v>
      </c>
      <c r="B6" s="5" t="s">
        <v>11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</row>
    <row r="7">
      <c r="A7" s="5">
        <v>5.0</v>
      </c>
      <c r="B7" s="5" t="s">
        <v>12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</row>
    <row r="8">
      <c r="A8" s="7" t="s">
        <v>13</v>
      </c>
      <c r="B8" s="4"/>
      <c r="C8" s="6">
        <v>144000.0</v>
      </c>
      <c r="D8" s="6">
        <v>350000.0</v>
      </c>
      <c r="E8" s="6">
        <v>215000.0</v>
      </c>
      <c r="F8" s="6">
        <v>195000.0</v>
      </c>
      <c r="G8" s="6">
        <v>904000.0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</row>
    <row r="11">
      <c r="A11" s="5">
        <v>2.0</v>
      </c>
      <c r="B11" s="5" t="s">
        <v>9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</row>
    <row r="12">
      <c r="A12" s="5">
        <v>3.0</v>
      </c>
      <c r="B12" s="5" t="s">
        <v>10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</row>
    <row r="13">
      <c r="A13" s="5">
        <v>4.0</v>
      </c>
      <c r="B13" s="5" t="s">
        <v>11</v>
      </c>
      <c r="C13" s="6">
        <v>36000.0</v>
      </c>
      <c r="D13" s="6">
        <v>82000.0</v>
      </c>
      <c r="E13" s="6">
        <v>123200.0</v>
      </c>
      <c r="F13" s="6">
        <v>57600.0</v>
      </c>
      <c r="G13" s="6">
        <v>298800.0</v>
      </c>
    </row>
    <row r="14">
      <c r="A14" s="5">
        <v>5.0</v>
      </c>
      <c r="B14" s="5" t="s">
        <v>12</v>
      </c>
      <c r="C14" s="6">
        <v>18000.0</v>
      </c>
      <c r="D14" s="6">
        <v>21000.0</v>
      </c>
      <c r="E14" s="6">
        <v>36300.0</v>
      </c>
      <c r="F14" s="6">
        <v>25500.0</v>
      </c>
      <c r="G14" s="6">
        <v>100800.0</v>
      </c>
    </row>
    <row r="15">
      <c r="A15" s="7" t="s">
        <v>13</v>
      </c>
      <c r="B15" s="4"/>
      <c r="C15" s="6">
        <v>54000.0</v>
      </c>
      <c r="D15" s="6">
        <v>103000.0</v>
      </c>
      <c r="E15" s="6">
        <v>159500.0</v>
      </c>
      <c r="F15" s="6">
        <v>83100.0</v>
      </c>
      <c r="G15" s="6">
        <v>399600.0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3.71"/>
    <col customWidth="1" min="3" max="3" width="12.71"/>
    <col customWidth="1" min="4" max="4" width="17.0"/>
    <col customWidth="1" min="5" max="5" width="15.57"/>
    <col customWidth="1" min="6" max="6" width="16.29"/>
    <col customWidth="1" min="7" max="7" width="1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8</v>
      </c>
      <c r="C3" s="6">
        <v>0.0</v>
      </c>
      <c r="D3" s="6">
        <v>0.0</v>
      </c>
      <c r="E3" s="9">
        <v>600000.0</v>
      </c>
      <c r="F3" s="9">
        <v>0.0</v>
      </c>
      <c r="G3" s="10">
        <v>600000.0</v>
      </c>
    </row>
    <row r="4">
      <c r="A4" s="5">
        <v>2.0</v>
      </c>
      <c r="B4" s="5" t="s">
        <v>9</v>
      </c>
      <c r="C4" s="6">
        <v>0.0</v>
      </c>
      <c r="D4" s="6">
        <v>0.0</v>
      </c>
      <c r="E4" s="9">
        <v>1230000.0</v>
      </c>
      <c r="F4" s="9">
        <v>0.0</v>
      </c>
      <c r="G4" s="10">
        <v>1230000.0</v>
      </c>
    </row>
    <row r="5">
      <c r="A5" s="5">
        <v>3.0</v>
      </c>
      <c r="B5" s="5" t="s">
        <v>10</v>
      </c>
      <c r="C5" s="6">
        <v>0.0</v>
      </c>
      <c r="D5" s="6">
        <v>0.0</v>
      </c>
      <c r="E5" s="9">
        <v>0.0</v>
      </c>
      <c r="F5" s="9">
        <v>0.0</v>
      </c>
      <c r="G5" s="10">
        <v>0.0</v>
      </c>
    </row>
    <row r="6">
      <c r="A6" s="5">
        <v>4.0</v>
      </c>
      <c r="B6" s="5" t="s">
        <v>11</v>
      </c>
      <c r="C6" s="6">
        <v>0.0</v>
      </c>
      <c r="D6" s="6">
        <v>0.0</v>
      </c>
      <c r="E6" s="9">
        <v>0.0</v>
      </c>
      <c r="F6" s="9">
        <v>0.0</v>
      </c>
      <c r="G6" s="10">
        <v>0.0</v>
      </c>
    </row>
    <row r="7">
      <c r="A7" s="5">
        <v>5.0</v>
      </c>
      <c r="B7" s="5" t="s">
        <v>12</v>
      </c>
      <c r="C7" s="6">
        <v>0.0</v>
      </c>
      <c r="D7" s="6">
        <v>0.0</v>
      </c>
      <c r="E7" s="9">
        <v>0.0</v>
      </c>
      <c r="F7" s="9">
        <v>0.0</v>
      </c>
      <c r="G7" s="10">
        <v>0.0</v>
      </c>
    </row>
    <row r="8">
      <c r="A8" s="7" t="s">
        <v>13</v>
      </c>
      <c r="B8" s="4"/>
      <c r="C8" s="6">
        <v>0.0</v>
      </c>
      <c r="D8" s="6">
        <v>0.0</v>
      </c>
      <c r="E8" s="9">
        <v>1830000.0</v>
      </c>
      <c r="F8" s="9">
        <v>0.0</v>
      </c>
      <c r="G8" s="11">
        <v>1830000.0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8</v>
      </c>
      <c r="C10" s="6">
        <v>0.0</v>
      </c>
      <c r="D10" s="6">
        <v>0.0</v>
      </c>
      <c r="E10" s="9">
        <v>230000.0</v>
      </c>
      <c r="F10" s="9">
        <v>148000.0</v>
      </c>
      <c r="G10" s="9">
        <v>378000.0</v>
      </c>
    </row>
    <row r="11">
      <c r="A11" s="5">
        <v>2.0</v>
      </c>
      <c r="B11" s="5" t="s">
        <v>9</v>
      </c>
      <c r="C11" s="6">
        <v>0.0</v>
      </c>
      <c r="D11" s="6">
        <v>0.0</v>
      </c>
      <c r="E11" s="9">
        <v>99000.0</v>
      </c>
      <c r="F11" s="9">
        <v>0.0</v>
      </c>
      <c r="G11" s="9">
        <v>99000.0</v>
      </c>
    </row>
    <row r="12">
      <c r="A12" s="5">
        <v>3.0</v>
      </c>
      <c r="B12" s="5" t="s">
        <v>10</v>
      </c>
      <c r="C12" s="6">
        <v>0.0</v>
      </c>
      <c r="D12" s="6">
        <v>0.0</v>
      </c>
      <c r="E12" s="9">
        <v>25000.0</v>
      </c>
      <c r="F12" s="9">
        <v>57000.0</v>
      </c>
      <c r="G12" s="9">
        <v>82000.0</v>
      </c>
    </row>
    <row r="13">
      <c r="A13" s="5">
        <v>4.0</v>
      </c>
      <c r="B13" s="5" t="s">
        <v>11</v>
      </c>
      <c r="C13" s="6">
        <v>0.0</v>
      </c>
      <c r="D13" s="6">
        <v>0.0</v>
      </c>
      <c r="E13" s="9">
        <v>300000.0</v>
      </c>
      <c r="F13" s="9">
        <v>0.0</v>
      </c>
      <c r="G13" s="9">
        <v>300000.0</v>
      </c>
    </row>
    <row r="14">
      <c r="A14" s="5">
        <v>5.0</v>
      </c>
      <c r="B14" s="5" t="s">
        <v>12</v>
      </c>
      <c r="C14" s="6">
        <v>0.0</v>
      </c>
      <c r="D14" s="6">
        <v>0.0</v>
      </c>
      <c r="E14" s="9">
        <v>186000.0</v>
      </c>
      <c r="F14" s="9">
        <v>310000.0</v>
      </c>
      <c r="G14" s="9">
        <f>SUM(C14:F14)</f>
        <v>496000</v>
      </c>
    </row>
    <row r="15">
      <c r="A15" s="7" t="s">
        <v>13</v>
      </c>
      <c r="B15" s="4"/>
      <c r="C15" s="6">
        <v>0.0</v>
      </c>
      <c r="D15" s="6">
        <v>0.0</v>
      </c>
      <c r="E15" s="9">
        <f>SUM(E10:E14)</f>
        <v>840000</v>
      </c>
      <c r="F15" s="9">
        <v>3480600.0</v>
      </c>
      <c r="G15" s="9">
        <f>SUM(G10:G14)</f>
        <v>1355000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57.71"/>
    <col customWidth="1" min="3" max="3" width="13.71"/>
    <col customWidth="1" min="4" max="4" width="13.43"/>
    <col customWidth="1" min="5" max="5" width="15.29"/>
    <col customWidth="1" min="6" max="6" width="16.43"/>
    <col customWidth="1" min="7" max="7" width="25.71"/>
    <col customWidth="1" min="8" max="26" width="8.71"/>
  </cols>
  <sheetData>
    <row r="1">
      <c r="A1" s="1" t="s">
        <v>0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>
        <v>1.0</v>
      </c>
      <c r="B3" s="5" t="s">
        <v>16</v>
      </c>
      <c r="C3" s="6">
        <f>CRM!C8</f>
        <v>2625000</v>
      </c>
      <c r="D3" s="6">
        <f>CRM!D8</f>
        <v>20000</v>
      </c>
      <c r="E3" s="6">
        <f>CRM!E8</f>
        <v>0</v>
      </c>
      <c r="F3" s="6">
        <f>CRM!F8</f>
        <v>50000</v>
      </c>
      <c r="G3" s="6">
        <f t="shared" ref="G3:G8" si="1">SUM(C3:F3)</f>
        <v>2695000</v>
      </c>
    </row>
    <row r="4">
      <c r="A4" s="5">
        <v>2.0</v>
      </c>
      <c r="B4" s="5" t="s">
        <v>17</v>
      </c>
      <c r="C4" s="6">
        <f>'СППР'!C8</f>
        <v>400000</v>
      </c>
      <c r="D4" s="6">
        <f>'СППР'!D8</f>
        <v>0</v>
      </c>
      <c r="E4" s="6">
        <f>'СППР'!E8</f>
        <v>0</v>
      </c>
      <c r="F4" s="6">
        <f>'СППР'!F8</f>
        <v>0</v>
      </c>
      <c r="G4" s="6">
        <f t="shared" si="1"/>
        <v>400000</v>
      </c>
    </row>
    <row r="5">
      <c r="A5" s="5">
        <v>3.0</v>
      </c>
      <c r="B5" s="5" t="s">
        <v>18</v>
      </c>
      <c r="C5" s="6">
        <f>QMS!C8</f>
        <v>2600000</v>
      </c>
      <c r="D5" s="6">
        <f>QMS!D8</f>
        <v>2050000</v>
      </c>
      <c r="E5" s="6">
        <f>QMS!E8</f>
        <v>0</v>
      </c>
      <c r="F5" s="6">
        <f>QMS!F8</f>
        <v>0</v>
      </c>
      <c r="G5" s="6">
        <f t="shared" si="1"/>
        <v>4650000</v>
      </c>
    </row>
    <row r="6">
      <c r="A6" s="5">
        <v>4.0</v>
      </c>
      <c r="B6" s="5" t="s">
        <v>19</v>
      </c>
      <c r="C6" s="6">
        <f>'Мобильное приложение'!C8</f>
        <v>144000</v>
      </c>
      <c r="D6" s="6">
        <f>'Мобильное приложение'!D8</f>
        <v>350000</v>
      </c>
      <c r="E6" s="6">
        <f>'Мобильное приложение'!E8</f>
        <v>215000</v>
      </c>
      <c r="F6" s="6">
        <f>'Мобильное приложение'!F8</f>
        <v>195000</v>
      </c>
      <c r="G6" s="6">
        <f t="shared" si="1"/>
        <v>904000</v>
      </c>
    </row>
    <row r="7">
      <c r="A7" s="5">
        <v>5.0</v>
      </c>
      <c r="B7" s="5" t="s">
        <v>20</v>
      </c>
      <c r="C7" s="6">
        <f>PLM!C8</f>
        <v>0</v>
      </c>
      <c r="D7" s="6">
        <f>PLM!D8</f>
        <v>0</v>
      </c>
      <c r="E7" s="6">
        <f>PLM!E8</f>
        <v>1830000</v>
      </c>
      <c r="F7" s="6">
        <f>PLM!F8</f>
        <v>0</v>
      </c>
      <c r="G7" s="6">
        <f t="shared" si="1"/>
        <v>1830000</v>
      </c>
    </row>
    <row r="8">
      <c r="A8" s="7" t="s">
        <v>13</v>
      </c>
      <c r="B8" s="4"/>
      <c r="C8" s="6">
        <f t="shared" ref="C8:F8" si="2">SUM(C3:C7)</f>
        <v>5769000</v>
      </c>
      <c r="D8" s="6">
        <f t="shared" si="2"/>
        <v>2420000</v>
      </c>
      <c r="E8" s="6">
        <f t="shared" si="2"/>
        <v>2045000</v>
      </c>
      <c r="F8" s="6">
        <f t="shared" si="2"/>
        <v>245000</v>
      </c>
      <c r="G8" s="6">
        <f t="shared" si="1"/>
        <v>10479000</v>
      </c>
    </row>
    <row r="9">
      <c r="A9" s="2" t="s">
        <v>14</v>
      </c>
      <c r="B9" s="3"/>
      <c r="C9" s="3"/>
      <c r="D9" s="3"/>
      <c r="E9" s="3"/>
      <c r="F9" s="3"/>
      <c r="G9" s="4"/>
    </row>
    <row r="10">
      <c r="A10" s="5">
        <v>1.0</v>
      </c>
      <c r="B10" s="5" t="s">
        <v>16</v>
      </c>
      <c r="C10" s="6">
        <f>CRM!C15</f>
        <v>1262000</v>
      </c>
      <c r="D10" s="6">
        <f>CRM!D15</f>
        <v>1856750</v>
      </c>
      <c r="E10" s="6">
        <f>CRM!E15</f>
        <v>1864700</v>
      </c>
      <c r="F10" s="6">
        <f>CRM!F15</f>
        <v>3165000</v>
      </c>
      <c r="G10" s="6">
        <f t="shared" ref="G10:G15" si="3">SUM(C10:F10)</f>
        <v>8148450</v>
      </c>
    </row>
    <row r="11">
      <c r="A11" s="5">
        <v>2.0</v>
      </c>
      <c r="B11" s="5" t="s">
        <v>17</v>
      </c>
      <c r="C11" s="6">
        <f>'СППР'!C15</f>
        <v>3688000</v>
      </c>
      <c r="D11" s="6">
        <f>'СППР'!D15</f>
        <v>1040000</v>
      </c>
      <c r="E11" s="6">
        <f>'СППР'!E15</f>
        <v>467360</v>
      </c>
      <c r="F11" s="6">
        <f>'СППР'!F15</f>
        <v>95360</v>
      </c>
      <c r="G11" s="6">
        <f t="shared" si="3"/>
        <v>5290720</v>
      </c>
    </row>
    <row r="12">
      <c r="A12" s="5">
        <v>3.0</v>
      </c>
      <c r="B12" s="5" t="s">
        <v>18</v>
      </c>
      <c r="C12" s="6">
        <f>QMS!C15</f>
        <v>280000</v>
      </c>
      <c r="D12" s="6">
        <f>QMS!D15</f>
        <v>280000</v>
      </c>
      <c r="E12" s="6">
        <f>QMS!E15</f>
        <v>280000</v>
      </c>
      <c r="F12" s="6">
        <f>QMS!F15</f>
        <v>280000</v>
      </c>
      <c r="G12" s="6">
        <f t="shared" si="3"/>
        <v>1120000</v>
      </c>
    </row>
    <row r="13">
      <c r="A13" s="5">
        <v>4.0</v>
      </c>
      <c r="B13" s="5" t="s">
        <v>19</v>
      </c>
      <c r="C13" s="6">
        <f>'Мобильное приложение'!C15</f>
        <v>54000</v>
      </c>
      <c r="D13" s="6">
        <f>'Мобильное приложение'!D15</f>
        <v>103000</v>
      </c>
      <c r="E13" s="6">
        <f>'Мобильное приложение'!E15</f>
        <v>159500</v>
      </c>
      <c r="F13" s="6">
        <f>'Мобильное приложение'!F15</f>
        <v>83100</v>
      </c>
      <c r="G13" s="6">
        <f t="shared" si="3"/>
        <v>399600</v>
      </c>
    </row>
    <row r="14">
      <c r="A14" s="5">
        <v>5.0</v>
      </c>
      <c r="B14" s="5" t="s">
        <v>20</v>
      </c>
      <c r="C14" s="6">
        <f>PLM!C15</f>
        <v>0</v>
      </c>
      <c r="D14" s="6">
        <f>PLM!D15</f>
        <v>0</v>
      </c>
      <c r="E14" s="6">
        <f>PLM!E15</f>
        <v>840000</v>
      </c>
      <c r="F14" s="6">
        <f>PLM!F15</f>
        <v>3480600</v>
      </c>
      <c r="G14" s="6">
        <f t="shared" si="3"/>
        <v>4320600</v>
      </c>
    </row>
    <row r="15">
      <c r="A15" s="7" t="s">
        <v>13</v>
      </c>
      <c r="B15" s="4"/>
      <c r="C15" s="6">
        <f t="shared" ref="C15:F15" si="4">SUM(C10:C14)</f>
        <v>5284000</v>
      </c>
      <c r="D15" s="6">
        <f t="shared" si="4"/>
        <v>3279750</v>
      </c>
      <c r="E15" s="6">
        <f t="shared" si="4"/>
        <v>3611560</v>
      </c>
      <c r="F15" s="6">
        <f t="shared" si="4"/>
        <v>7104060</v>
      </c>
      <c r="G15" s="6">
        <f t="shared" si="3"/>
        <v>19279370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8:B8"/>
    <mergeCell ref="A9:G9"/>
    <mergeCell ref="A15:B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2025-01-13T12:47:29Z</dcterms:created>
  <dc:creator>Chubchenko, Mariya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5ca9e09a-f63f-439c-b592-b1b9353d2ae0</vt:lpwstr>
  </property>
</Properties>
</file>